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Business Info" sheetId="2" state="visible" r:id="rId4"/>
    <sheet name="Monthly Summary" sheetId="3" state="visible" r:id="rId5"/>
    <sheet name="Expense Categories" sheetId="4" state="visible" r:id="rId6"/>
    <sheet name="Scenari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<sst xmlns="http://schemas.openxmlformats.org/spreadsheetml/2006/main" count="248" uniqueCount="134">
  <si>
    <t xml:space="preserve">ELIDAN AI</t>
  </si>
  <si>
    <t xml:space="preserve">Financial Data Import Template  ·  Version 1.0</t>
  </si>
  <si>
    <t xml:space="preserve">Complete all four sheets to import your financial data into Elidan.</t>
  </si>
  <si>
    <t xml:space="preserve">COLOUR CODING</t>
  </si>
  <si>
    <t xml:space="preserve">Blue text = values YOU enter (inputs)</t>
  </si>
  <si>
    <t xml:space="preserve">Black text = calculated by formula (do not edit)</t>
  </si>
  <si>
    <t xml:space="preserve">Yellow background = important cells that need your attention</t>
  </si>
  <si>
    <t xml:space="preserve">SHEET GUIDE</t>
  </si>
  <si>
    <t xml:space="preserve">1. Business Info  — Enter your business details and settings (one-time setup)</t>
  </si>
  <si>
    <t xml:space="preserve">2. Monthly Summary  — Enter monthly financial data (required, minimum 3 months)</t>
  </si>
  <si>
    <t xml:space="preserve">3. Expense Categories  — Break down your expenses by category each month</t>
  </si>
  <si>
    <t xml:space="preserve">4. Scenarios  — Pre-built test scenarios for development and planning</t>
  </si>
  <si>
    <t xml:space="preserve">IMPORTANT NOTES</t>
  </si>
  <si>
    <t xml:space="preserve">• Enter data for the most recent 6–12 months for best results</t>
  </si>
  <si>
    <t xml:space="preserve">• All monetary values should be in USD</t>
  </si>
  <si>
    <t xml:space="preserve">• Do not add or remove columns — column positions are used by the Elidan parser</t>
  </si>
  <si>
    <t xml:space="preserve">• You may add rows to the Monthly Summary and Expense Categories sheets</t>
  </si>
  <si>
    <t xml:space="preserve">• Dates must be entered as the first day of the month (e.g. 01/01/2026)</t>
  </si>
  <si>
    <t xml:space="preserve">DATA DEFINITIONS</t>
  </si>
  <si>
    <t xml:space="preserve">Opening Cash Balance  — Your total bank balance on the first day of the month</t>
  </si>
  <si>
    <t xml:space="preserve">Closing Cash Balance  — Your total bank balance on the last day of the month</t>
  </si>
  <si>
    <t xml:space="preserve">Total Revenue  — All cash received during the month (not invoiced — collected)</t>
  </si>
  <si>
    <t xml:space="preserve">Total Expenses  — All money paid out during the month</t>
  </si>
  <si>
    <t xml:space="preserve">AR Outstanding  — Total value of invoices sent but not yet paid by customers</t>
  </si>
  <si>
    <t xml:space="preserve">AP Outstanding  — Total value of bills received but not yet paid by you</t>
  </si>
  <si>
    <t xml:space="preserve">Payroll  — Total payroll and contractor payments made during the month</t>
  </si>
  <si>
    <t xml:space="preserve">ELIDAN AI  —  Business Information</t>
  </si>
  <si>
    <t xml:space="preserve">Complete once. This information is used to personalise your dashboard and set alert thresholds.</t>
  </si>
  <si>
    <t xml:space="preserve">  BUSINESS DETAILS</t>
  </si>
  <si>
    <t xml:space="preserve">Business Name</t>
  </si>
  <si>
    <t xml:space="preserve">Acme Services LLC</t>
  </si>
  <si>
    <t xml:space="preserve">Your registered business name</t>
  </si>
  <si>
    <t xml:space="preserve">Industry</t>
  </si>
  <si>
    <t xml:space="preserve">Professional Services</t>
  </si>
  <si>
    <t xml:space="preserve">e.g. Agency, SaaS, Retail, Construction, Consulting</t>
  </si>
  <si>
    <t xml:space="preserve">Business Start Date</t>
  </si>
  <si>
    <t xml:space="preserve">01/01/2022</t>
  </si>
  <si>
    <t xml:space="preserve">MM/DD/YYYY</t>
  </si>
  <si>
    <t xml:space="preserve">Number of Employees</t>
  </si>
  <si>
    <t xml:space="preserve">Full-time equivalent</t>
  </si>
  <si>
    <t xml:space="preserve">Accounting System</t>
  </si>
  <si>
    <t xml:space="preserve">QuickBooks Online</t>
  </si>
  <si>
    <t xml:space="preserve">e.g. QuickBooks, Xero, Wave, Spreadsheet only</t>
  </si>
  <si>
    <t xml:space="preserve">Reporting Currency</t>
  </si>
  <si>
    <t xml:space="preserve">USD</t>
  </si>
  <si>
    <t xml:space="preserve">Currency for all monetary values</t>
  </si>
  <si>
    <t xml:space="preserve">  FINANCIAL SETTINGS &amp; ALERT THRESHOLDS</t>
  </si>
  <si>
    <t xml:space="preserve">Minimum Cash Reserve ($)</t>
  </si>
  <si>
    <t xml:space="preserve">Alert triggers if cash drops below this amount</t>
  </si>
  <si>
    <t xml:space="preserve">Runway Warning Threshold (months)</t>
  </si>
  <si>
    <t xml:space="preserve">Amber alert when runway drops below this</t>
  </si>
  <si>
    <t xml:space="preserve">Runway Danger Threshold (months)</t>
  </si>
  <si>
    <t xml:space="preserve">Red alert when runway drops below this</t>
  </si>
  <si>
    <t xml:space="preserve">Monthly Revenue Target ($)</t>
  </si>
  <si>
    <t xml:space="preserve">Your MRR goal for the current period</t>
  </si>
  <si>
    <t xml:space="preserve">Burn Rate Warning (% increase MoM)</t>
  </si>
  <si>
    <t xml:space="preserve">Alert if burn increases more than this % month-on-month</t>
  </si>
  <si>
    <t xml:space="preserve">Invoice Overdue Days</t>
  </si>
  <si>
    <t xml:space="preserve">Flag AR invoices overdue by more than this many days</t>
  </si>
  <si>
    <t xml:space="preserve">ELIDAN AI  —  Monthly Summary</t>
  </si>
  <si>
    <t xml:space="preserve">Enter one row per month. Blue text = your inputs. Black text = calculated. Minimum 3 months required, 12 months recommended.</t>
  </si>
  <si>
    <t xml:space="preserve">Month</t>
  </si>
  <si>
    <t xml:space="preserve">Opening Cash ($)</t>
  </si>
  <si>
    <t xml:space="preserve">Closing Cash ($)</t>
  </si>
  <si>
    <t xml:space="preserve">Total Revenue ($)</t>
  </si>
  <si>
    <t xml:space="preserve">Total Expenses ($)</t>
  </si>
  <si>
    <t xml:space="preserve">Payroll ($)</t>
  </si>
  <si>
    <t xml:space="preserve">AR Outstanding ($)</t>
  </si>
  <si>
    <t xml:space="preserve">AP Outstanding ($)</t>
  </si>
  <si>
    <t xml:space="preserve">Net Cash Flow ($)</t>
  </si>
  <si>
    <t xml:space="preserve">Burn Rate ($)</t>
  </si>
  <si>
    <t xml:space="preserve">Notes</t>
  </si>
  <si>
    <t xml:space="preserve">01/01/2025</t>
  </si>
  <si>
    <t xml:space="preserve">02/01/2025</t>
  </si>
  <si>
    <t xml:space="preserve">03/01/2025</t>
  </si>
  <si>
    <t xml:space="preserve">04/01/2025</t>
  </si>
  <si>
    <t xml:space="preserve">05/01/2025</t>
  </si>
  <si>
    <t xml:space="preserve">06/01/2025</t>
  </si>
  <si>
    <t xml:space="preserve">07/01/2025</t>
  </si>
  <si>
    <t xml:space="preserve">08/01/2025</t>
  </si>
  <si>
    <t xml:space="preserve">09/01/2025</t>
  </si>
  <si>
    <t xml:space="preserve">10/01/2025</t>
  </si>
  <si>
    <t xml:space="preserve">11/01/2025</t>
  </si>
  <si>
    <t xml:space="preserve">12/01/2025</t>
  </si>
  <si>
    <t xml:space="preserve">12-MONTH TOTALS / AVERAGES</t>
  </si>
  <si>
    <t xml:space="preserve">  KEY CALCULATIONS  (used by Elidan dashboard)</t>
  </si>
  <si>
    <t xml:space="preserve">Current Cash Balance</t>
  </si>
  <si>
    <t xml:space="preserve">Closing cash from most recent month</t>
  </si>
  <si>
    <t xml:space="preserve">3-Month Avg Burn Rate</t>
  </si>
  <si>
    <t xml:space="preserve">Average of last 3 months expenses</t>
  </si>
  <si>
    <t xml:space="preserve">Runway (months)</t>
  </si>
  <si>
    <t xml:space="preserve">Months of cash at current burn rate</t>
  </si>
  <si>
    <t xml:space="preserve">Runout Month</t>
  </si>
  <si>
    <t xml:space="preserve">Projected month cash reaches zero</t>
  </si>
  <si>
    <t xml:space="preserve">MoM Burn Change</t>
  </si>
  <si>
    <t xml:space="preserve">Month-on-month burn rate change</t>
  </si>
  <si>
    <t xml:space="preserve">Revenue Trend (MoM)</t>
  </si>
  <si>
    <t xml:space="preserve">Month-on-month revenue change</t>
  </si>
  <si>
    <t xml:space="preserve">ELIDAN AI  —  Expense Categories</t>
  </si>
  <si>
    <t xml:space="preserve">Break down each month's expenses by category. Use the same categories consistently. Required for AI insights.</t>
  </si>
  <si>
    <t xml:space="preserve">Category</t>
  </si>
  <si>
    <t xml:space="preserve">Amount ($)</t>
  </si>
  <si>
    <t xml:space="preserve">% of Total Expenses</t>
  </si>
  <si>
    <t xml:space="preserve">MoM Change (%)</t>
  </si>
  <si>
    <t xml:space="preserve">  10/01/2025</t>
  </si>
  <si>
    <t xml:space="preserve">Payroll &amp; Salaries</t>
  </si>
  <si>
    <t xml:space="preserve">-</t>
  </si>
  <si>
    <t xml:space="preserve">Contractor / Freelancer</t>
  </si>
  <si>
    <t xml:space="preserve">Marketing &amp; Advertising</t>
  </si>
  <si>
    <t xml:space="preserve">Software &amp; Subscriptions</t>
  </si>
  <si>
    <t xml:space="preserve">Rent &amp; Facilities</t>
  </si>
  <si>
    <t xml:space="preserve">Insurance</t>
  </si>
  <si>
    <t xml:space="preserve">Travel &amp; Entertainment</t>
  </si>
  <si>
    <t xml:space="preserve">Office &amp; Supplies</t>
  </si>
  <si>
    <t xml:space="preserve">Other</t>
  </si>
  <si>
    <t xml:space="preserve">  11/01/2025</t>
  </si>
  <si>
    <t xml:space="preserve">  12/01/2025</t>
  </si>
  <si>
    <t xml:space="preserve">ELIDAN AI  —  Development Scenarios</t>
  </si>
  <si>
    <t xml:space="preserve">Pre-built test scenarios for development and QA. Copy data to Monthly Summary to test different dashboard states.</t>
  </si>
  <si>
    <t xml:space="preserve">SCENARIO A — Healthy &amp; Growing</t>
  </si>
  <si>
    <t xml:space="preserve">Growing SMB, 14+ months runway, revenue exceeding burn. All green indicators.</t>
  </si>
  <si>
    <t xml:space="preserve">Jan-2026</t>
  </si>
  <si>
    <t xml:space="preserve">Feb-2026</t>
  </si>
  <si>
    <t xml:space="preserve">Mar-2026</t>
  </si>
  <si>
    <t xml:space="preserve">SCENARIO B — Warning Zone</t>
  </si>
  <si>
    <t xml:space="preserve">Burn exceeding revenue, 5 months runway. Amber alerts expected.</t>
  </si>
  <si>
    <t xml:space="preserve">SCENARIO C — Critical / Danger</t>
  </si>
  <si>
    <t xml:space="preserve">2.5 months runway, high burn, significant AR/AP imbalance. Red alerts expected.</t>
  </si>
  <si>
    <t xml:space="preserve">SCENARIO D — Seasonal Business</t>
  </si>
  <si>
    <t xml:space="preserve">Service business with seasonal revenue peaks (Q2/Q3 strong, Q1/Q4 lean).</t>
  </si>
  <si>
    <t xml:space="preserve">Apr-2026</t>
  </si>
  <si>
    <t xml:space="preserve">May-2026</t>
  </si>
  <si>
    <t xml:space="preserve">SCENARIO E — High AR, Cash Constrained</t>
  </si>
  <si>
    <t xml:space="preserve">Revenue looks good but slow invoice collection creating cash squeeze.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</si>
</sst>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mmm\-yyyy"/>
    <numFmt numFmtId="169" formatCode="0.0"/>
    <numFmt numFmtId="170" formatCode="@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sz val="11"/>
      <color rgb="FFD4AF7F"/>
      <name val="Arial"/>
      <family val="0"/>
      <charset val="1"/>
    </font>
    <font>
      <sz val="10"/>
      <color rgb="FF6B7A8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34415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6B7A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A1A2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344150"/>
      <name val="Arial"/>
      <family val="0"/>
      <charset val="1"/>
    </font>
    <font>
      <i val="true"/>
      <sz val="9"/>
      <color rgb="FF166534"/>
      <name val="Arial"/>
      <family val="0"/>
      <charset val="1"/>
    </font>
    <font>
      <i val="true"/>
      <sz val="9"/>
      <color rgb="FF7D4E00"/>
      <name val="Arial"/>
      <family val="0"/>
      <charset val="1"/>
    </font>
    <font>
      <i val="true"/>
      <sz val="9"/>
      <color rgb="FFA32D2D"/>
      <name val="Arial"/>
      <family val="0"/>
      <charset val="1"/>
    </font>
    <font>
      <i val="true"/>
      <sz val="9"/>
      <color rgb="FF34415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A1A2F"/>
        <bgColor rgb="FF000000"/>
      </patternFill>
    </fill>
    <fill>
      <patternFill patternType="solid">
        <fgColor rgb="FFF4F7FA"/>
        <bgColor rgb="FFFBF5EC"/>
      </patternFill>
    </fill>
    <fill>
      <patternFill patternType="solid">
        <fgColor rgb="FF2CA6A4"/>
        <bgColor rgb="FF33CCCC"/>
      </patternFill>
    </fill>
    <fill>
      <patternFill patternType="solid">
        <fgColor rgb="FFFFFFFF"/>
        <bgColor rgb="FFF4F7FA"/>
      </patternFill>
    </fill>
    <fill>
      <patternFill patternType="solid">
        <fgColor rgb="FFFFFF00"/>
        <bgColor rgb="FFFFFF00"/>
      </patternFill>
    </fill>
    <fill>
      <patternFill patternType="solid">
        <fgColor rgb="FF344150"/>
        <bgColor rgb="FF333399"/>
      </patternFill>
    </fill>
    <fill>
      <patternFill patternType="solid">
        <fgColor rgb="FFE8F7F7"/>
        <bgColor rgb="FFF4F7FA"/>
      </patternFill>
    </fill>
    <fill>
      <patternFill patternType="solid">
        <fgColor rgb="FFC5E8E8"/>
        <bgColor rgb="FFD8E2EC"/>
      </patternFill>
    </fill>
    <fill>
      <patternFill patternType="solid">
        <fgColor rgb="FFEAF3DE"/>
        <bgColor rgb="FFE8F7F7"/>
      </patternFill>
    </fill>
    <fill>
      <patternFill patternType="solid">
        <fgColor rgb="FFFFF3CD"/>
        <bgColor rgb="FFFBF5EC"/>
      </patternFill>
    </fill>
    <fill>
      <patternFill patternType="solid">
        <fgColor rgb="FFFCEAEA"/>
        <bgColor rgb="FFFBF5EC"/>
      </patternFill>
    </fill>
    <fill>
      <patternFill patternType="solid">
        <fgColor rgb="FFFBF5EC"/>
        <bgColor rgb="FFF4F7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E2EC"/>
      </left>
      <right style="thin">
        <color rgb="FFD8E2EC"/>
      </right>
      <top style="thin">
        <color rgb="FFD8E2EC"/>
      </top>
      <bottom style="thin">
        <color rgb="FFD8E2EC"/>
      </bottom>
      <diagonal/>
    </border>
    <border diagonalUp="false" diagonalDown="false">
      <left style="thin">
        <color rgb="FF0A1A2F"/>
      </left>
      <right style="thin">
        <color rgb="FF0A1A2F"/>
      </right>
      <top style="thin">
        <color rgb="FF0A1A2F"/>
      </top>
      <bottom style="thin">
        <color rgb="FF0A1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7D4E00"/>
      <rgbColor rgb="FF800080"/>
      <rgbColor rgb="FF008080"/>
      <rgbColor rgb="FFD4AF7F"/>
      <rgbColor rgb="FF6B7A8D"/>
      <rgbColor rgb="FF9999FF"/>
      <rgbColor rgb="FF993366"/>
      <rgbColor rgb="FFFFF3CD"/>
      <rgbColor rgb="FFE8F7F7"/>
      <rgbColor rgb="FF660066"/>
      <rgbColor rgb="FFFF8080"/>
      <rgbColor rgb="FF0066CC"/>
      <rgbColor rgb="FFD8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8E8"/>
      <rgbColor rgb="FFEAF3DE"/>
      <rgbColor rgb="FFFBF5EC"/>
      <rgbColor rgb="FFF4F7FA"/>
      <rgbColor rgb="FFFF99CC"/>
      <rgbColor rgb="FFCC99FF"/>
      <rgbColor rgb="FFFCEA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CA6A4"/>
      <rgbColor rgb="FF0A1A2F"/>
      <rgbColor rgb="FF333300"/>
      <rgbColor rgb="FFA32D2D"/>
      <rgbColor rgb="FF993366"/>
      <rgbColor rgb="FF333399"/>
      <rgbColor rgb="FF3441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A6A4"/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4"/>
  </cols>
  <sheetData>
    <row r="1" customFormat="false" ht="4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5" customFormat="false" ht="21.75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" t="s">
        <v>4</v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5" t="s">
        <v>5</v>
      </c>
      <c r="B7" s="5"/>
      <c r="C7" s="5"/>
      <c r="D7" s="5"/>
      <c r="E7" s="5"/>
      <c r="F7" s="5"/>
      <c r="G7" s="5"/>
      <c r="H7" s="5"/>
    </row>
    <row r="8" customFormat="false" ht="15" hidden="false" customHeight="false" outlineLevel="0" collapsed="false">
      <c r="A8" s="5" t="s">
        <v>6</v>
      </c>
      <c r="B8" s="5"/>
      <c r="C8" s="5"/>
      <c r="D8" s="5"/>
      <c r="E8" s="5"/>
      <c r="F8" s="5"/>
      <c r="G8" s="5"/>
      <c r="H8" s="5"/>
    </row>
    <row r="10" customFormat="false" ht="21.75" hidden="false" customHeight="true" outlineLevel="0" collapsed="false">
      <c r="A10" s="4" t="s">
        <v>7</v>
      </c>
      <c r="B10" s="4"/>
      <c r="C10" s="4"/>
      <c r="D10" s="4"/>
      <c r="E10" s="4"/>
      <c r="F10" s="4"/>
      <c r="G10" s="4"/>
      <c r="H10" s="4"/>
    </row>
    <row r="11" customFormat="false" ht="15" hidden="false" customHeight="false" outlineLevel="0" collapsed="false">
      <c r="A11" s="5" t="s">
        <v>8</v>
      </c>
      <c r="B11" s="5"/>
      <c r="C11" s="5"/>
      <c r="D11" s="5"/>
      <c r="E11" s="5"/>
      <c r="F11" s="5"/>
      <c r="G11" s="5"/>
      <c r="H11" s="5"/>
    </row>
    <row r="12" customFormat="false" ht="15" hidden="false" customHeight="false" outlineLevel="0" collapsed="false">
      <c r="A12" s="5" t="s">
        <v>9</v>
      </c>
      <c r="B12" s="5"/>
      <c r="C12" s="5"/>
      <c r="D12" s="5"/>
      <c r="E12" s="5"/>
      <c r="F12" s="5"/>
      <c r="G12" s="5"/>
      <c r="H12" s="5"/>
    </row>
    <row r="13" customFormat="false" ht="15" hidden="false" customHeight="false" outlineLevel="0" collapsed="false">
      <c r="A13" s="5" t="s">
        <v>10</v>
      </c>
      <c r="B13" s="5"/>
      <c r="C13" s="5"/>
      <c r="D13" s="5"/>
      <c r="E13" s="5"/>
      <c r="F13" s="5"/>
      <c r="G13" s="5"/>
      <c r="H13" s="5"/>
    </row>
    <row r="14" customFormat="false" ht="15" hidden="false" customHeight="false" outlineLevel="0" collapsed="false">
      <c r="A14" s="5" t="s">
        <v>11</v>
      </c>
      <c r="B14" s="5"/>
      <c r="C14" s="5"/>
      <c r="D14" s="5"/>
      <c r="E14" s="5"/>
      <c r="F14" s="5"/>
      <c r="G14" s="5"/>
      <c r="H14" s="5"/>
    </row>
    <row r="16" customFormat="false" ht="21.75" hidden="false" customHeight="true" outlineLevel="0" collapsed="false">
      <c r="A16" s="4" t="s">
        <v>12</v>
      </c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5" t="s">
        <v>13</v>
      </c>
      <c r="B17" s="5"/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A18" s="5" t="s">
        <v>14</v>
      </c>
      <c r="B18" s="5"/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A19" s="5" t="s">
        <v>15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5" t="s">
        <v>16</v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5" t="s">
        <v>17</v>
      </c>
      <c r="B21" s="5"/>
      <c r="C21" s="5"/>
      <c r="D21" s="5"/>
      <c r="E21" s="5"/>
      <c r="F21" s="5"/>
      <c r="G21" s="5"/>
      <c r="H21" s="5"/>
    </row>
    <row r="23" customFormat="false" ht="21.75" hidden="false" customHeight="true" outlineLevel="0" collapsed="false">
      <c r="A23" s="4" t="s">
        <v>18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5" t="s">
        <v>19</v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5" t="s">
        <v>20</v>
      </c>
      <c r="B25" s="5"/>
      <c r="C25" s="5"/>
      <c r="D25" s="5"/>
      <c r="E25" s="5"/>
      <c r="F25" s="5"/>
      <c r="G25" s="5"/>
      <c r="H25" s="5"/>
    </row>
    <row r="26" customFormat="false" ht="15" hidden="false" customHeight="false" outlineLevel="0" collapsed="false">
      <c r="A26" s="5" t="s">
        <v>21</v>
      </c>
      <c r="B26" s="5"/>
      <c r="C26" s="5"/>
      <c r="D26" s="5"/>
      <c r="E26" s="5"/>
      <c r="F26" s="5"/>
      <c r="G26" s="5"/>
      <c r="H26" s="5"/>
    </row>
    <row r="27" customFormat="false" ht="15" hidden="false" customHeight="false" outlineLevel="0" collapsed="false">
      <c r="A27" s="5" t="s">
        <v>22</v>
      </c>
      <c r="B27" s="5"/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A28" s="5" t="s">
        <v>23</v>
      </c>
      <c r="B28" s="5"/>
      <c r="C28" s="5"/>
      <c r="D28" s="5"/>
      <c r="E28" s="5"/>
      <c r="F28" s="5"/>
      <c r="G28" s="5"/>
      <c r="H28" s="5"/>
    </row>
    <row r="29" customFormat="false" ht="15" hidden="false" customHeight="false" outlineLevel="0" collapsed="false">
      <c r="A29" s="5" t="s">
        <v>24</v>
      </c>
      <c r="B29" s="5"/>
      <c r="C29" s="5"/>
      <c r="D29" s="5"/>
      <c r="E29" s="5"/>
      <c r="F29" s="5"/>
      <c r="G29" s="5"/>
      <c r="H29" s="5"/>
    </row>
    <row r="30" customFormat="false" ht="15" hidden="false" customHeight="false" outlineLevel="0" collapsed="false">
      <c r="A30" s="5" t="s">
        <v>25</v>
      </c>
      <c r="B30" s="5"/>
      <c r="C30" s="5"/>
      <c r="D30" s="5"/>
      <c r="E30" s="5"/>
      <c r="F30" s="5"/>
      <c r="G30" s="5"/>
      <c r="H30" s="5"/>
    </row>
  </sheetData>
  <mergeCells count="26">
    <mergeCell ref="A1:H1"/>
    <mergeCell ref="A2:H2"/>
    <mergeCell ref="A3:H3"/>
    <mergeCell ref="A5:H5"/>
    <mergeCell ref="A6:H6"/>
    <mergeCell ref="A7:H7"/>
    <mergeCell ref="A8:H8"/>
    <mergeCell ref="A10:H10"/>
    <mergeCell ref="A11:H11"/>
    <mergeCell ref="A12:H12"/>
    <mergeCell ref="A13:H13"/>
    <mergeCell ref="A14:H14"/>
    <mergeCell ref="A16:H16"/>
    <mergeCell ref="A17:H17"/>
    <mergeCell ref="A18:H18"/>
    <mergeCell ref="A19:H19"/>
    <mergeCell ref="A20:H20"/>
    <mergeCell ref="A21:H21"/>
    <mergeCell ref="A23:H23"/>
    <mergeCell ref="A24:H24"/>
    <mergeCell ref="A25:H25"/>
    <mergeCell ref="A26:H26"/>
    <mergeCell ref="A27:H27"/>
    <mergeCell ref="A28:H28"/>
    <mergeCell ref="A29:H29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1A2F"/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4"/>
  </cols>
  <sheetData>
    <row r="1" customFormat="false" ht="36" hidden="false" customHeight="true" outlineLevel="0" collapsed="false">
      <c r="A1" s="6" t="s">
        <v>26</v>
      </c>
      <c r="B1" s="6"/>
      <c r="C1" s="6"/>
      <c r="D1" s="6"/>
    </row>
    <row r="2" customFormat="false" ht="21.75" hidden="false" customHeight="true" outlineLevel="0" collapsed="false">
      <c r="A2" s="7" t="s">
        <v>27</v>
      </c>
      <c r="B2" s="7"/>
      <c r="C2" s="7"/>
      <c r="D2" s="7"/>
    </row>
    <row r="4" customFormat="false" ht="15" hidden="false" customHeight="false" outlineLevel="0" collapsed="false">
      <c r="A4" s="8" t="s">
        <v>28</v>
      </c>
      <c r="B4" s="8"/>
      <c r="C4" s="8"/>
      <c r="D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1"/>
    </row>
    <row r="6" customFormat="false" ht="15" hidden="false" customHeight="false" outlineLevel="0" collapsed="false">
      <c r="A6" s="9" t="s">
        <v>32</v>
      </c>
      <c r="B6" s="10" t="s">
        <v>33</v>
      </c>
      <c r="C6" s="11" t="s">
        <v>34</v>
      </c>
      <c r="D6" s="11"/>
    </row>
    <row r="7" customFormat="false" ht="15" hidden="false" customHeight="false" outlineLevel="0" collapsed="false">
      <c r="A7" s="9" t="s">
        <v>35</v>
      </c>
      <c r="B7" s="10" t="s">
        <v>36</v>
      </c>
      <c r="C7" s="11" t="s">
        <v>37</v>
      </c>
      <c r="D7" s="11"/>
    </row>
    <row r="8" customFormat="false" ht="15" hidden="false" customHeight="false" outlineLevel="0" collapsed="false">
      <c r="A8" s="9" t="s">
        <v>38</v>
      </c>
      <c r="B8" s="12" t="n">
        <v>8</v>
      </c>
      <c r="C8" s="11" t="s">
        <v>39</v>
      </c>
      <c r="D8" s="11"/>
    </row>
    <row r="9" customFormat="false" ht="15" hidden="false" customHeight="false" outlineLevel="0" collapsed="false">
      <c r="A9" s="9" t="s">
        <v>40</v>
      </c>
      <c r="B9" s="10" t="s">
        <v>41</v>
      </c>
      <c r="C9" s="11" t="s">
        <v>42</v>
      </c>
      <c r="D9" s="11"/>
    </row>
    <row r="10" customFormat="false" ht="15" hidden="false" customHeight="false" outlineLevel="0" collapsed="false">
      <c r="A10" s="9" t="s">
        <v>43</v>
      </c>
      <c r="B10" s="10" t="s">
        <v>44</v>
      </c>
      <c r="C10" s="11" t="s">
        <v>45</v>
      </c>
      <c r="D10" s="11"/>
    </row>
    <row r="12" customFormat="false" ht="15" hidden="false" customHeight="false" outlineLevel="0" collapsed="false">
      <c r="A12" s="8" t="s">
        <v>46</v>
      </c>
      <c r="B12" s="8"/>
      <c r="C12" s="8"/>
      <c r="D12" s="8"/>
    </row>
    <row r="13" customFormat="false" ht="15" hidden="false" customHeight="false" outlineLevel="0" collapsed="false">
      <c r="A13" s="9" t="s">
        <v>47</v>
      </c>
      <c r="B13" s="13" t="n">
        <v>25000</v>
      </c>
      <c r="C13" s="11" t="s">
        <v>48</v>
      </c>
      <c r="D13" s="11"/>
    </row>
    <row r="14" customFormat="false" ht="15" hidden="false" customHeight="false" outlineLevel="0" collapsed="false">
      <c r="A14" s="9" t="s">
        <v>49</v>
      </c>
      <c r="B14" s="14" t="n">
        <v>6</v>
      </c>
      <c r="C14" s="11" t="s">
        <v>50</v>
      </c>
      <c r="D14" s="11"/>
    </row>
    <row r="15" customFormat="false" ht="15" hidden="false" customHeight="false" outlineLevel="0" collapsed="false">
      <c r="A15" s="9" t="s">
        <v>51</v>
      </c>
      <c r="B15" s="14" t="n">
        <v>3</v>
      </c>
      <c r="C15" s="11" t="s">
        <v>52</v>
      </c>
      <c r="D15" s="11"/>
    </row>
    <row r="16" customFormat="false" ht="15" hidden="false" customHeight="false" outlineLevel="0" collapsed="false">
      <c r="A16" s="9" t="s">
        <v>53</v>
      </c>
      <c r="B16" s="13" t="n">
        <v>35000</v>
      </c>
      <c r="C16" s="11" t="s">
        <v>54</v>
      </c>
      <c r="D16" s="11"/>
    </row>
    <row r="17" customFormat="false" ht="15" hidden="false" customHeight="false" outlineLevel="0" collapsed="false">
      <c r="A17" s="9" t="s">
        <v>55</v>
      </c>
      <c r="B17" s="15" t="n">
        <v>0.1</v>
      </c>
      <c r="C17" s="11" t="s">
        <v>56</v>
      </c>
      <c r="D17" s="11"/>
    </row>
    <row r="18" customFormat="false" ht="15" hidden="false" customHeight="false" outlineLevel="0" collapsed="false">
      <c r="A18" s="9" t="s">
        <v>57</v>
      </c>
      <c r="B18" s="14" t="n">
        <v>30</v>
      </c>
      <c r="C18" s="11" t="s">
        <v>58</v>
      </c>
      <c r="D18" s="11"/>
    </row>
  </sheetData>
  <mergeCells count="16">
    <mergeCell ref="A1:D1"/>
    <mergeCell ref="A2:D2"/>
    <mergeCell ref="A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A6A4"/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16"/>
    <col collapsed="false" customWidth="true" hidden="false" outlineLevel="0" max="9" min="7" style="0" width="18"/>
    <col collapsed="false" customWidth="true" hidden="false" outlineLevel="0" max="10" min="10" style="0" width="16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6" t="s">
        <v>59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customFormat="false" ht="19.5" hidden="false" customHeight="true" outlineLevel="0" collapsed="false">
      <c r="A2" s="7" t="s">
        <v>60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customFormat="false" ht="30" hidden="false" customHeight="true" outlineLevel="0" collapsed="false">
      <c r="A4" s="16" t="s">
        <v>61</v>
      </c>
      <c r="B4" s="16" t="s">
        <v>62</v>
      </c>
      <c r="C4" s="16" t="s">
        <v>63</v>
      </c>
      <c r="D4" s="16" t="s">
        <v>64</v>
      </c>
      <c r="E4" s="16" t="s">
        <v>65</v>
      </c>
      <c r="F4" s="16" t="s">
        <v>66</v>
      </c>
      <c r="G4" s="16" t="s">
        <v>67</v>
      </c>
      <c r="H4" s="16" t="s">
        <v>68</v>
      </c>
      <c r="I4" s="16" t="s">
        <v>69</v>
      </c>
      <c r="J4" s="16" t="s">
        <v>70</v>
      </c>
      <c r="K4" s="16" t="s">
        <v>71</v>
      </c>
    </row>
    <row r="5" customFormat="false" ht="21.75" hidden="false" customHeight="true" outlineLevel="0" collapsed="false">
      <c r="A5" s="17" t="s">
        <v>72</v>
      </c>
      <c r="B5" s="18" t="n">
        <v>120000</v>
      </c>
      <c r="C5" s="18" t="n">
        <v>108500</v>
      </c>
      <c r="D5" s="18" t="n">
        <v>28000</v>
      </c>
      <c r="E5" s="18" t="n">
        <v>39500</v>
      </c>
      <c r="F5" s="18" t="n">
        <v>22000</v>
      </c>
      <c r="G5" s="18" t="n">
        <v>8500</v>
      </c>
      <c r="H5" s="18" t="n">
        <v>4200</v>
      </c>
      <c r="I5" s="19" t="n">
        <f aca="false">C5-B5</f>
        <v>-11500</v>
      </c>
      <c r="J5" s="19" t="n">
        <f aca="false">E5</f>
        <v>39500</v>
      </c>
      <c r="K5" s="20"/>
    </row>
    <row r="6" customFormat="false" ht="21.75" hidden="false" customHeight="true" outlineLevel="0" collapsed="false">
      <c r="A6" s="17" t="s">
        <v>73</v>
      </c>
      <c r="B6" s="18" t="n">
        <v>108500</v>
      </c>
      <c r="C6" s="18" t="n">
        <v>97800</v>
      </c>
      <c r="D6" s="18" t="n">
        <v>29500</v>
      </c>
      <c r="E6" s="18" t="n">
        <v>40200</v>
      </c>
      <c r="F6" s="18" t="n">
        <v>22000</v>
      </c>
      <c r="G6" s="18" t="n">
        <v>9200</v>
      </c>
      <c r="H6" s="18" t="n">
        <v>4500</v>
      </c>
      <c r="I6" s="19" t="n">
        <f aca="false">C6-B6</f>
        <v>-10700</v>
      </c>
      <c r="J6" s="19" t="n">
        <f aca="false">E6</f>
        <v>40200</v>
      </c>
      <c r="K6" s="20"/>
    </row>
    <row r="7" customFormat="false" ht="21.75" hidden="false" customHeight="true" outlineLevel="0" collapsed="false">
      <c r="A7" s="17" t="s">
        <v>74</v>
      </c>
      <c r="B7" s="18" t="n">
        <v>97800</v>
      </c>
      <c r="C7" s="18" t="n">
        <v>91200</v>
      </c>
      <c r="D7" s="18" t="n">
        <v>32000</v>
      </c>
      <c r="E7" s="18" t="n">
        <v>38600</v>
      </c>
      <c r="F7" s="18" t="n">
        <v>22000</v>
      </c>
      <c r="G7" s="18" t="n">
        <v>10100</v>
      </c>
      <c r="H7" s="18" t="n">
        <v>3800</v>
      </c>
      <c r="I7" s="19" t="n">
        <f aca="false">C7-B7</f>
        <v>-6600</v>
      </c>
      <c r="J7" s="19" t="n">
        <f aca="false">E7</f>
        <v>38600</v>
      </c>
      <c r="K7" s="20"/>
    </row>
    <row r="8" customFormat="false" ht="21.75" hidden="false" customHeight="true" outlineLevel="0" collapsed="false">
      <c r="A8" s="17" t="s">
        <v>75</v>
      </c>
      <c r="B8" s="18" t="n">
        <v>91200</v>
      </c>
      <c r="C8" s="18" t="n">
        <v>88700</v>
      </c>
      <c r="D8" s="18" t="n">
        <v>34500</v>
      </c>
      <c r="E8" s="18" t="n">
        <v>37000</v>
      </c>
      <c r="F8" s="18" t="n">
        <v>22000</v>
      </c>
      <c r="G8" s="18" t="n">
        <v>11200</v>
      </c>
      <c r="H8" s="18" t="n">
        <v>4100</v>
      </c>
      <c r="I8" s="19" t="n">
        <f aca="false">C8-B8</f>
        <v>-2500</v>
      </c>
      <c r="J8" s="19" t="n">
        <f aca="false">E8</f>
        <v>37000</v>
      </c>
      <c r="K8" s="20"/>
    </row>
    <row r="9" customFormat="false" ht="21.75" hidden="false" customHeight="true" outlineLevel="0" collapsed="false">
      <c r="A9" s="17" t="s">
        <v>76</v>
      </c>
      <c r="B9" s="18" t="n">
        <v>88700</v>
      </c>
      <c r="C9" s="18" t="n">
        <v>90100</v>
      </c>
      <c r="D9" s="18" t="n">
        <v>36200</v>
      </c>
      <c r="E9" s="18" t="n">
        <v>34800</v>
      </c>
      <c r="F9" s="18" t="n">
        <v>24000</v>
      </c>
      <c r="G9" s="18" t="n">
        <v>12400</v>
      </c>
      <c r="H9" s="18" t="n">
        <v>3900</v>
      </c>
      <c r="I9" s="19" t="n">
        <f aca="false">C9-B9</f>
        <v>1400</v>
      </c>
      <c r="J9" s="19" t="n">
        <f aca="false">E9</f>
        <v>34800</v>
      </c>
      <c r="K9" s="20"/>
    </row>
    <row r="10" customFormat="false" ht="21.75" hidden="false" customHeight="true" outlineLevel="0" collapsed="false">
      <c r="A10" s="17" t="s">
        <v>77</v>
      </c>
      <c r="B10" s="18" t="n">
        <v>90100</v>
      </c>
      <c r="C10" s="18" t="n">
        <v>95800</v>
      </c>
      <c r="D10" s="18" t="n">
        <v>38500</v>
      </c>
      <c r="E10" s="18" t="n">
        <v>32800</v>
      </c>
      <c r="F10" s="18" t="n">
        <v>24000</v>
      </c>
      <c r="G10" s="18" t="n">
        <v>13100</v>
      </c>
      <c r="H10" s="18" t="n">
        <v>3600</v>
      </c>
      <c r="I10" s="19" t="n">
        <f aca="false">C10-B10</f>
        <v>5700</v>
      </c>
      <c r="J10" s="19" t="n">
        <f aca="false">E10</f>
        <v>32800</v>
      </c>
      <c r="K10" s="20"/>
    </row>
    <row r="11" customFormat="false" ht="21.75" hidden="false" customHeight="true" outlineLevel="0" collapsed="false">
      <c r="A11" s="17" t="s">
        <v>78</v>
      </c>
      <c r="B11" s="18" t="n">
        <v>95800</v>
      </c>
      <c r="C11" s="18" t="n">
        <v>101200</v>
      </c>
      <c r="D11" s="18" t="n">
        <v>40100</v>
      </c>
      <c r="E11" s="18" t="n">
        <v>34700</v>
      </c>
      <c r="F11" s="18" t="n">
        <v>24000</v>
      </c>
      <c r="G11" s="18" t="n">
        <v>14200</v>
      </c>
      <c r="H11" s="18" t="n">
        <v>4200</v>
      </c>
      <c r="I11" s="19" t="n">
        <f aca="false">C11-B11</f>
        <v>5400</v>
      </c>
      <c r="J11" s="19" t="n">
        <f aca="false">E11</f>
        <v>34700</v>
      </c>
      <c r="K11" s="20"/>
    </row>
    <row r="12" customFormat="false" ht="21.75" hidden="false" customHeight="true" outlineLevel="0" collapsed="false">
      <c r="A12" s="17" t="s">
        <v>79</v>
      </c>
      <c r="B12" s="18" t="n">
        <v>101200</v>
      </c>
      <c r="C12" s="18" t="n">
        <v>108400</v>
      </c>
      <c r="D12" s="18" t="n">
        <v>42300</v>
      </c>
      <c r="E12" s="18" t="n">
        <v>35100</v>
      </c>
      <c r="F12" s="18" t="n">
        <v>24000</v>
      </c>
      <c r="G12" s="18" t="n">
        <v>15800</v>
      </c>
      <c r="H12" s="18" t="n">
        <v>4400</v>
      </c>
      <c r="I12" s="19" t="n">
        <f aca="false">C12-B12</f>
        <v>7200</v>
      </c>
      <c r="J12" s="19" t="n">
        <f aca="false">E12</f>
        <v>35100</v>
      </c>
      <c r="K12" s="20"/>
    </row>
    <row r="13" customFormat="false" ht="21.75" hidden="false" customHeight="true" outlineLevel="0" collapsed="false">
      <c r="A13" s="17" t="s">
        <v>80</v>
      </c>
      <c r="B13" s="18" t="n">
        <v>108400</v>
      </c>
      <c r="C13" s="18" t="n">
        <v>116900</v>
      </c>
      <c r="D13" s="18" t="n">
        <v>44800</v>
      </c>
      <c r="E13" s="18" t="n">
        <v>36300</v>
      </c>
      <c r="F13" s="18" t="n">
        <v>26000</v>
      </c>
      <c r="G13" s="18" t="n">
        <v>16200</v>
      </c>
      <c r="H13" s="18" t="n">
        <v>4800</v>
      </c>
      <c r="I13" s="19" t="n">
        <f aca="false">C13-B13</f>
        <v>8500</v>
      </c>
      <c r="J13" s="19" t="n">
        <f aca="false">E13</f>
        <v>36300</v>
      </c>
      <c r="K13" s="20"/>
    </row>
    <row r="14" customFormat="false" ht="21.75" hidden="false" customHeight="true" outlineLevel="0" collapsed="false">
      <c r="A14" s="17" t="s">
        <v>81</v>
      </c>
      <c r="B14" s="18" t="n">
        <v>116900</v>
      </c>
      <c r="C14" s="18" t="n">
        <v>125300</v>
      </c>
      <c r="D14" s="18" t="n">
        <v>46500</v>
      </c>
      <c r="E14" s="18" t="n">
        <v>38100</v>
      </c>
      <c r="F14" s="18" t="n">
        <v>26000</v>
      </c>
      <c r="G14" s="18" t="n">
        <v>17100</v>
      </c>
      <c r="H14" s="18" t="n">
        <v>5100</v>
      </c>
      <c r="I14" s="19" t="n">
        <f aca="false">C14-B14</f>
        <v>8400</v>
      </c>
      <c r="J14" s="19" t="n">
        <f aca="false">E14</f>
        <v>38100</v>
      </c>
      <c r="K14" s="20"/>
    </row>
    <row r="15" customFormat="false" ht="21.75" hidden="false" customHeight="true" outlineLevel="0" collapsed="false">
      <c r="A15" s="17" t="s">
        <v>82</v>
      </c>
      <c r="B15" s="18" t="n">
        <v>125300</v>
      </c>
      <c r="C15" s="18" t="n">
        <v>131800</v>
      </c>
      <c r="D15" s="18" t="n">
        <v>48200</v>
      </c>
      <c r="E15" s="18" t="n">
        <v>41700</v>
      </c>
      <c r="F15" s="18" t="n">
        <v>26000</v>
      </c>
      <c r="G15" s="18" t="n">
        <v>18400</v>
      </c>
      <c r="H15" s="18" t="n">
        <v>5400</v>
      </c>
      <c r="I15" s="19" t="n">
        <f aca="false">C15-B15</f>
        <v>6500</v>
      </c>
      <c r="J15" s="19" t="n">
        <f aca="false">E15</f>
        <v>41700</v>
      </c>
      <c r="K15" s="20"/>
    </row>
    <row r="16" customFormat="false" ht="21.75" hidden="false" customHeight="true" outlineLevel="0" collapsed="false">
      <c r="A16" s="17" t="s">
        <v>83</v>
      </c>
      <c r="B16" s="18" t="n">
        <v>131800</v>
      </c>
      <c r="C16" s="18" t="n">
        <v>138200</v>
      </c>
      <c r="D16" s="18" t="n">
        <v>51000</v>
      </c>
      <c r="E16" s="18" t="n">
        <v>44600</v>
      </c>
      <c r="F16" s="18" t="n">
        <v>28000</v>
      </c>
      <c r="G16" s="18" t="n">
        <v>19800</v>
      </c>
      <c r="H16" s="18" t="n">
        <v>5800</v>
      </c>
      <c r="I16" s="19" t="n">
        <f aca="false">C16-B16</f>
        <v>6400</v>
      </c>
      <c r="J16" s="19" t="n">
        <f aca="false">E16</f>
        <v>44600</v>
      </c>
      <c r="K16" s="20"/>
    </row>
    <row r="18" customFormat="false" ht="24" hidden="false" customHeight="true" outlineLevel="0" collapsed="false">
      <c r="A18" s="21" t="s">
        <v>84</v>
      </c>
      <c r="B18" s="22" t="n">
        <f aca="false">B16</f>
        <v>131800</v>
      </c>
      <c r="C18" s="22" t="n">
        <f aca="false">C16</f>
        <v>138200</v>
      </c>
      <c r="D18" s="22" t="n">
        <f aca="false">SUM(D5:D16)</f>
        <v>471600</v>
      </c>
      <c r="E18" s="22" t="n">
        <f aca="false">SUM(E5:E16)</f>
        <v>453400</v>
      </c>
      <c r="F18" s="22" t="n">
        <f aca="false">SUM(F5:F16)</f>
        <v>290000</v>
      </c>
      <c r="G18" s="22" t="n">
        <f aca="false">C16</f>
        <v>138200</v>
      </c>
      <c r="H18" s="22" t="n">
        <f aca="false">H16</f>
        <v>5800</v>
      </c>
      <c r="I18" s="22" t="n">
        <f aca="false">SUM(I5:I16)</f>
        <v>18200</v>
      </c>
      <c r="J18" s="22" t="n">
        <f aca="false">AVERAGE(J5:J16)</f>
        <v>37783.3333333333</v>
      </c>
      <c r="K18" s="23"/>
    </row>
    <row r="21" customFormat="false" ht="15" hidden="false" customHeight="false" outlineLevel="0" collapsed="false">
      <c r="A21" s="8" t="s">
        <v>85</v>
      </c>
      <c r="B21" s="8"/>
      <c r="C21" s="8"/>
      <c r="D21" s="8"/>
      <c r="E21" s="8"/>
    </row>
    <row r="22" customFormat="false" ht="21.75" hidden="false" customHeight="true" outlineLevel="0" collapsed="false">
      <c r="A22" s="24" t="s">
        <v>86</v>
      </c>
      <c r="B22" s="25" t="n">
        <f aca="false">C16</f>
        <v>138200</v>
      </c>
      <c r="C22" s="26" t="s">
        <v>87</v>
      </c>
      <c r="D22" s="26"/>
      <c r="E22" s="26"/>
    </row>
    <row r="23" customFormat="false" ht="21.75" hidden="false" customHeight="true" outlineLevel="0" collapsed="false">
      <c r="A23" s="24" t="s">
        <v>88</v>
      </c>
      <c r="B23" s="25" t="n">
        <f aca="false">AVERAGE(J14:J16)</f>
        <v>41466.6666666667</v>
      </c>
      <c r="C23" s="26" t="s">
        <v>89</v>
      </c>
      <c r="D23" s="26"/>
      <c r="E23" s="26"/>
    </row>
    <row r="24" customFormat="false" ht="21.75" hidden="false" customHeight="true" outlineLevel="0" collapsed="false">
      <c r="A24" s="24" t="s">
        <v>90</v>
      </c>
      <c r="B24" s="27" t="n">
        <f aca="false">IFERROR(C16/AVERAGE(J14:J16),0)</f>
        <v>3.33279742765273</v>
      </c>
      <c r="C24" s="26" t="s">
        <v>91</v>
      </c>
      <c r="D24" s="26"/>
      <c r="E24" s="26"/>
    </row>
    <row r="25" customFormat="false" ht="21.75" hidden="false" customHeight="true" outlineLevel="0" collapsed="false">
      <c r="A25" s="24" t="s">
        <v>92</v>
      </c>
      <c r="B25" s="28" t="str">
        <f aca="false">IFERROR(TEXT(EDATE(DATE(2025,12,1),C16/AVERAGE(J14:J16)),"MMM YYYY"),"Check data")</f>
        <v>Mar 2026</v>
      </c>
      <c r="C25" s="26" t="s">
        <v>93</v>
      </c>
      <c r="D25" s="26"/>
      <c r="E25" s="26"/>
    </row>
    <row r="26" customFormat="false" ht="21.75" hidden="false" customHeight="true" outlineLevel="0" collapsed="false">
      <c r="A26" s="24" t="s">
        <v>94</v>
      </c>
      <c r="B26" s="29" t="n">
        <f aca="false">IFERROR((J16-J15)/J15,0)</f>
        <v>0.0695443645083933</v>
      </c>
      <c r="C26" s="26" t="s">
        <v>95</v>
      </c>
      <c r="D26" s="26"/>
      <c r="E26" s="26"/>
    </row>
    <row r="27" customFormat="false" ht="21.75" hidden="false" customHeight="true" outlineLevel="0" collapsed="false">
      <c r="A27" s="24" t="s">
        <v>96</v>
      </c>
      <c r="B27" s="29" t="n">
        <f aca="false">IFERROR((D16-D15)/D15,0)</f>
        <v>0.0580912863070539</v>
      </c>
      <c r="C27" s="26" t="s">
        <v>97</v>
      </c>
      <c r="D27" s="26"/>
      <c r="E27" s="26"/>
    </row>
  </sheetData>
  <mergeCells count="9">
    <mergeCell ref="A1:K1"/>
    <mergeCell ref="A2:K2"/>
    <mergeCell ref="A21:E21"/>
    <mergeCell ref="C22:E22"/>
    <mergeCell ref="C23:E23"/>
    <mergeCell ref="C24:E24"/>
    <mergeCell ref="C25:E25"/>
    <mergeCell ref="C26:E26"/>
    <mergeCell ref="C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F7F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36" hidden="false" customHeight="true" outlineLevel="0" collapsed="false">
      <c r="A1" s="6" t="s">
        <v>98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7" t="s">
        <v>99</v>
      </c>
      <c r="B2" s="7"/>
      <c r="C2" s="7"/>
      <c r="D2" s="7"/>
      <c r="E2" s="7"/>
      <c r="F2" s="7"/>
    </row>
    <row r="4" customFormat="false" ht="30" hidden="false" customHeight="true" outlineLevel="0" collapsed="false">
      <c r="A4" s="16" t="s">
        <v>61</v>
      </c>
      <c r="B4" s="16" t="s">
        <v>100</v>
      </c>
      <c r="C4" s="16" t="s">
        <v>101</v>
      </c>
      <c r="D4" s="16" t="s">
        <v>102</v>
      </c>
      <c r="E4" s="16" t="s">
        <v>103</v>
      </c>
      <c r="F4" s="16" t="s">
        <v>71</v>
      </c>
    </row>
    <row r="5" customFormat="false" ht="15" hidden="false" customHeight="false" outlineLevel="0" collapsed="false">
      <c r="A5" s="30" t="s">
        <v>104</v>
      </c>
      <c r="B5" s="30"/>
      <c r="C5" s="30"/>
      <c r="D5" s="30"/>
      <c r="E5" s="30"/>
      <c r="F5" s="30"/>
    </row>
    <row r="6" customFormat="false" ht="19.5" hidden="false" customHeight="true" outlineLevel="0" collapsed="false">
      <c r="A6" s="31" t="s">
        <v>81</v>
      </c>
      <c r="B6" s="32" t="s">
        <v>105</v>
      </c>
      <c r="C6" s="18" t="n">
        <v>20000</v>
      </c>
      <c r="D6" s="33" t="n">
        <f aca="false">C6/38100</f>
        <v>0.5249343832021</v>
      </c>
      <c r="E6" s="34" t="s">
        <v>106</v>
      </c>
      <c r="F6" s="35"/>
    </row>
    <row r="7" customFormat="false" ht="19.5" hidden="false" customHeight="true" outlineLevel="0" collapsed="false">
      <c r="A7" s="31" t="s">
        <v>81</v>
      </c>
      <c r="B7" s="32" t="s">
        <v>107</v>
      </c>
      <c r="C7" s="18" t="n">
        <v>4500</v>
      </c>
      <c r="D7" s="33" t="n">
        <f aca="false">C7/38100</f>
        <v>0.118110236220472</v>
      </c>
      <c r="E7" s="34" t="s">
        <v>106</v>
      </c>
      <c r="F7" s="35"/>
    </row>
    <row r="8" customFormat="false" ht="19.5" hidden="false" customHeight="true" outlineLevel="0" collapsed="false">
      <c r="A8" s="31" t="s">
        <v>81</v>
      </c>
      <c r="B8" s="32" t="s">
        <v>108</v>
      </c>
      <c r="C8" s="18" t="n">
        <v>5200</v>
      </c>
      <c r="D8" s="33" t="n">
        <f aca="false">C8/38100</f>
        <v>0.136482939632546</v>
      </c>
      <c r="E8" s="34" t="s">
        <v>106</v>
      </c>
      <c r="F8" s="35"/>
    </row>
    <row r="9" customFormat="false" ht="19.5" hidden="false" customHeight="true" outlineLevel="0" collapsed="false">
      <c r="A9" s="31" t="s">
        <v>81</v>
      </c>
      <c r="B9" s="32" t="s">
        <v>109</v>
      </c>
      <c r="C9" s="18" t="n">
        <v>1800</v>
      </c>
      <c r="D9" s="33" t="n">
        <f aca="false">C9/38100</f>
        <v>0.047244094488189</v>
      </c>
      <c r="E9" s="34" t="s">
        <v>106</v>
      </c>
      <c r="F9" s="35"/>
    </row>
    <row r="10" customFormat="false" ht="19.5" hidden="false" customHeight="true" outlineLevel="0" collapsed="false">
      <c r="A10" s="31" t="s">
        <v>81</v>
      </c>
      <c r="B10" s="32" t="s">
        <v>110</v>
      </c>
      <c r="C10" s="18" t="n">
        <v>3200</v>
      </c>
      <c r="D10" s="33" t="n">
        <f aca="false">C10/38100</f>
        <v>0.083989501312336</v>
      </c>
      <c r="E10" s="34" t="s">
        <v>106</v>
      </c>
      <c r="F10" s="35"/>
    </row>
    <row r="11" customFormat="false" ht="19.5" hidden="false" customHeight="true" outlineLevel="0" collapsed="false">
      <c r="A11" s="31" t="s">
        <v>81</v>
      </c>
      <c r="B11" s="32" t="s">
        <v>33</v>
      </c>
      <c r="C11" s="18" t="n">
        <v>1200</v>
      </c>
      <c r="D11" s="33" t="n">
        <f aca="false">C11/38100</f>
        <v>0.031496062992126</v>
      </c>
      <c r="E11" s="34" t="s">
        <v>106</v>
      </c>
      <c r="F11" s="35"/>
    </row>
    <row r="12" customFormat="false" ht="19.5" hidden="false" customHeight="true" outlineLevel="0" collapsed="false">
      <c r="A12" s="31" t="s">
        <v>81</v>
      </c>
      <c r="B12" s="32" t="s">
        <v>111</v>
      </c>
      <c r="C12" s="18" t="n">
        <v>800</v>
      </c>
      <c r="D12" s="33" t="n">
        <f aca="false">C12/38100</f>
        <v>0.020997375328084</v>
      </c>
      <c r="E12" s="34" t="s">
        <v>106</v>
      </c>
      <c r="F12" s="35"/>
    </row>
    <row r="13" customFormat="false" ht="19.5" hidden="false" customHeight="true" outlineLevel="0" collapsed="false">
      <c r="A13" s="31" t="s">
        <v>81</v>
      </c>
      <c r="B13" s="32" t="s">
        <v>112</v>
      </c>
      <c r="C13" s="18" t="n">
        <v>600</v>
      </c>
      <c r="D13" s="33" t="n">
        <f aca="false">C13/38100</f>
        <v>0.015748031496063</v>
      </c>
      <c r="E13" s="34" t="s">
        <v>106</v>
      </c>
      <c r="F13" s="35"/>
    </row>
    <row r="14" customFormat="false" ht="19.5" hidden="false" customHeight="true" outlineLevel="0" collapsed="false">
      <c r="A14" s="31" t="s">
        <v>81</v>
      </c>
      <c r="B14" s="32" t="s">
        <v>113</v>
      </c>
      <c r="C14" s="18" t="n">
        <v>300</v>
      </c>
      <c r="D14" s="33" t="n">
        <f aca="false">C14/38100</f>
        <v>0.0078740157480315</v>
      </c>
      <c r="E14" s="34" t="s">
        <v>106</v>
      </c>
      <c r="F14" s="35"/>
    </row>
    <row r="15" customFormat="false" ht="19.5" hidden="false" customHeight="true" outlineLevel="0" collapsed="false">
      <c r="A15" s="31" t="s">
        <v>81</v>
      </c>
      <c r="B15" s="32" t="s">
        <v>114</v>
      </c>
      <c r="C15" s="18" t="n">
        <v>500</v>
      </c>
      <c r="D15" s="33" t="n">
        <f aca="false">C15/38100</f>
        <v>0.0131233595800525</v>
      </c>
      <c r="E15" s="34" t="s">
        <v>106</v>
      </c>
      <c r="F15" s="35"/>
    </row>
    <row r="17" customFormat="false" ht="15" hidden="false" customHeight="false" outlineLevel="0" collapsed="false">
      <c r="A17" s="30" t="s">
        <v>115</v>
      </c>
      <c r="B17" s="30"/>
      <c r="C17" s="30"/>
      <c r="D17" s="30"/>
      <c r="E17" s="30"/>
      <c r="F17" s="30"/>
    </row>
    <row r="18" customFormat="false" ht="19.5" hidden="false" customHeight="true" outlineLevel="0" collapsed="false">
      <c r="A18" s="31" t="s">
        <v>82</v>
      </c>
      <c r="B18" s="32" t="s">
        <v>105</v>
      </c>
      <c r="C18" s="18" t="n">
        <v>20000</v>
      </c>
      <c r="D18" s="33" t="n">
        <f aca="false">C18/41700</f>
        <v>0.479616306954436</v>
      </c>
      <c r="E18" s="33" t="n">
        <v>0</v>
      </c>
      <c r="F18" s="35"/>
    </row>
    <row r="19" customFormat="false" ht="19.5" hidden="false" customHeight="true" outlineLevel="0" collapsed="false">
      <c r="A19" s="31" t="s">
        <v>82</v>
      </c>
      <c r="B19" s="32" t="s">
        <v>107</v>
      </c>
      <c r="C19" s="18" t="n">
        <v>5100</v>
      </c>
      <c r="D19" s="33" t="n">
        <f aca="false">C19/41700</f>
        <v>0.122302158273381</v>
      </c>
      <c r="E19" s="33" t="n">
        <v>0.133333333333333</v>
      </c>
      <c r="F19" s="35"/>
    </row>
    <row r="20" customFormat="false" ht="19.5" hidden="false" customHeight="true" outlineLevel="0" collapsed="false">
      <c r="A20" s="31" t="s">
        <v>82</v>
      </c>
      <c r="B20" s="32" t="s">
        <v>108</v>
      </c>
      <c r="C20" s="18" t="n">
        <v>6800</v>
      </c>
      <c r="D20" s="33" t="n">
        <f aca="false">C20/41700</f>
        <v>0.163069544364508</v>
      </c>
      <c r="E20" s="33" t="n">
        <v>0.307692307692308</v>
      </c>
      <c r="F20" s="35"/>
    </row>
    <row r="21" customFormat="false" ht="19.5" hidden="false" customHeight="true" outlineLevel="0" collapsed="false">
      <c r="A21" s="31" t="s">
        <v>82</v>
      </c>
      <c r="B21" s="32" t="s">
        <v>109</v>
      </c>
      <c r="C21" s="18" t="n">
        <v>1900</v>
      </c>
      <c r="D21" s="33" t="n">
        <f aca="false">C21/41700</f>
        <v>0.0455635491606715</v>
      </c>
      <c r="E21" s="33" t="n">
        <v>0.0555555555555556</v>
      </c>
      <c r="F21" s="35"/>
    </row>
    <row r="22" customFormat="false" ht="19.5" hidden="false" customHeight="true" outlineLevel="0" collapsed="false">
      <c r="A22" s="31" t="s">
        <v>82</v>
      </c>
      <c r="B22" s="32" t="s">
        <v>110</v>
      </c>
      <c r="C22" s="18" t="n">
        <v>3200</v>
      </c>
      <c r="D22" s="33" t="n">
        <f aca="false">C22/41700</f>
        <v>0.0767386091127098</v>
      </c>
      <c r="E22" s="33" t="n">
        <v>0</v>
      </c>
      <c r="F22" s="35"/>
    </row>
    <row r="23" customFormat="false" ht="19.5" hidden="false" customHeight="true" outlineLevel="0" collapsed="false">
      <c r="A23" s="31" t="s">
        <v>82</v>
      </c>
      <c r="B23" s="32" t="s">
        <v>33</v>
      </c>
      <c r="C23" s="18" t="n">
        <v>1400</v>
      </c>
      <c r="D23" s="33" t="n">
        <f aca="false">C23/41700</f>
        <v>0.0335731414868106</v>
      </c>
      <c r="E23" s="33" t="n">
        <v>0.166666666666667</v>
      </c>
      <c r="F23" s="35"/>
    </row>
    <row r="24" customFormat="false" ht="19.5" hidden="false" customHeight="true" outlineLevel="0" collapsed="false">
      <c r="A24" s="31" t="s">
        <v>82</v>
      </c>
      <c r="B24" s="32" t="s">
        <v>111</v>
      </c>
      <c r="C24" s="18" t="n">
        <v>800</v>
      </c>
      <c r="D24" s="33" t="n">
        <f aca="false">C24/41700</f>
        <v>0.0191846522781775</v>
      </c>
      <c r="E24" s="33" t="n">
        <v>0</v>
      </c>
      <c r="F24" s="35"/>
    </row>
    <row r="25" customFormat="false" ht="19.5" hidden="false" customHeight="true" outlineLevel="0" collapsed="false">
      <c r="A25" s="31" t="s">
        <v>82</v>
      </c>
      <c r="B25" s="32" t="s">
        <v>112</v>
      </c>
      <c r="C25" s="18" t="n">
        <v>1200</v>
      </c>
      <c r="D25" s="33" t="n">
        <f aca="false">C25/41700</f>
        <v>0.0287769784172662</v>
      </c>
      <c r="E25" s="33" t="n">
        <v>1</v>
      </c>
      <c r="F25" s="35"/>
    </row>
    <row r="26" customFormat="false" ht="19.5" hidden="false" customHeight="true" outlineLevel="0" collapsed="false">
      <c r="A26" s="31" t="s">
        <v>82</v>
      </c>
      <c r="B26" s="32" t="s">
        <v>113</v>
      </c>
      <c r="C26" s="18" t="n">
        <v>500</v>
      </c>
      <c r="D26" s="33" t="n">
        <f aca="false">C26/41700</f>
        <v>0.0119904076738609</v>
      </c>
      <c r="E26" s="33" t="n">
        <v>0.666666666666667</v>
      </c>
      <c r="F26" s="35"/>
    </row>
    <row r="27" customFormat="false" ht="19.5" hidden="false" customHeight="true" outlineLevel="0" collapsed="false">
      <c r="A27" s="31" t="s">
        <v>82</v>
      </c>
      <c r="B27" s="32" t="s">
        <v>114</v>
      </c>
      <c r="C27" s="18" t="n">
        <v>800</v>
      </c>
      <c r="D27" s="33" t="n">
        <f aca="false">C27/41700</f>
        <v>0.0191846522781775</v>
      </c>
      <c r="E27" s="33" t="n">
        <v>0.6</v>
      </c>
      <c r="F27" s="35"/>
    </row>
    <row r="29" customFormat="false" ht="15" hidden="false" customHeight="false" outlineLevel="0" collapsed="false">
      <c r="A29" s="30" t="s">
        <v>116</v>
      </c>
      <c r="B29" s="30"/>
      <c r="C29" s="30"/>
      <c r="D29" s="30"/>
      <c r="E29" s="30"/>
      <c r="F29" s="30"/>
    </row>
    <row r="30" customFormat="false" ht="19.5" hidden="false" customHeight="true" outlineLevel="0" collapsed="false">
      <c r="A30" s="31" t="s">
        <v>83</v>
      </c>
      <c r="B30" s="32" t="s">
        <v>105</v>
      </c>
      <c r="C30" s="18" t="n">
        <v>22000</v>
      </c>
      <c r="D30" s="33" t="n">
        <f aca="false">C30/44600</f>
        <v>0.493273542600897</v>
      </c>
      <c r="E30" s="33" t="n">
        <v>0.1</v>
      </c>
      <c r="F30" s="35"/>
    </row>
    <row r="31" customFormat="false" ht="19.5" hidden="false" customHeight="true" outlineLevel="0" collapsed="false">
      <c r="A31" s="31" t="s">
        <v>83</v>
      </c>
      <c r="B31" s="32" t="s">
        <v>107</v>
      </c>
      <c r="C31" s="18" t="n">
        <v>5500</v>
      </c>
      <c r="D31" s="33" t="n">
        <f aca="false">C31/44600</f>
        <v>0.123318385650224</v>
      </c>
      <c r="E31" s="33" t="n">
        <v>0.0784313725490196</v>
      </c>
      <c r="F31" s="35"/>
    </row>
    <row r="32" customFormat="false" ht="19.5" hidden="false" customHeight="true" outlineLevel="0" collapsed="false">
      <c r="A32" s="31" t="s">
        <v>83</v>
      </c>
      <c r="B32" s="32" t="s">
        <v>108</v>
      </c>
      <c r="C32" s="18" t="n">
        <v>7200</v>
      </c>
      <c r="D32" s="33" t="n">
        <f aca="false">C32/44600</f>
        <v>0.161434977578475</v>
      </c>
      <c r="E32" s="33" t="n">
        <v>0.0588235294117647</v>
      </c>
      <c r="F32" s="35"/>
    </row>
    <row r="33" customFormat="false" ht="19.5" hidden="false" customHeight="true" outlineLevel="0" collapsed="false">
      <c r="A33" s="31" t="s">
        <v>83</v>
      </c>
      <c r="B33" s="32" t="s">
        <v>109</v>
      </c>
      <c r="C33" s="18" t="n">
        <v>2100</v>
      </c>
      <c r="D33" s="33" t="n">
        <f aca="false">C33/44600</f>
        <v>0.047085201793722</v>
      </c>
      <c r="E33" s="33" t="n">
        <v>0.105263157894737</v>
      </c>
      <c r="F33" s="35"/>
    </row>
    <row r="34" customFormat="false" ht="19.5" hidden="false" customHeight="true" outlineLevel="0" collapsed="false">
      <c r="A34" s="31" t="s">
        <v>83</v>
      </c>
      <c r="B34" s="32" t="s">
        <v>110</v>
      </c>
      <c r="C34" s="18" t="n">
        <v>3200</v>
      </c>
      <c r="D34" s="33" t="n">
        <f aca="false">C34/44600</f>
        <v>0.0717488789237668</v>
      </c>
      <c r="E34" s="33" t="n">
        <v>0</v>
      </c>
      <c r="F34" s="35"/>
    </row>
    <row r="35" customFormat="false" ht="19.5" hidden="false" customHeight="true" outlineLevel="0" collapsed="false">
      <c r="A35" s="31" t="s">
        <v>83</v>
      </c>
      <c r="B35" s="32" t="s">
        <v>33</v>
      </c>
      <c r="C35" s="18" t="n">
        <v>1800</v>
      </c>
      <c r="D35" s="33" t="n">
        <f aca="false">C35/44600</f>
        <v>0.0403587443946188</v>
      </c>
      <c r="E35" s="33" t="n">
        <v>0.285714285714286</v>
      </c>
      <c r="F35" s="35"/>
    </row>
    <row r="36" customFormat="false" ht="19.5" hidden="false" customHeight="true" outlineLevel="0" collapsed="false">
      <c r="A36" s="31" t="s">
        <v>83</v>
      </c>
      <c r="B36" s="32" t="s">
        <v>111</v>
      </c>
      <c r="C36" s="18" t="n">
        <v>800</v>
      </c>
      <c r="D36" s="33" t="n">
        <f aca="false">C36/44600</f>
        <v>0.0179372197309417</v>
      </c>
      <c r="E36" s="33" t="n">
        <v>0</v>
      </c>
      <c r="F36" s="35"/>
    </row>
    <row r="37" customFormat="false" ht="19.5" hidden="false" customHeight="true" outlineLevel="0" collapsed="false">
      <c r="A37" s="31" t="s">
        <v>83</v>
      </c>
      <c r="B37" s="32" t="s">
        <v>112</v>
      </c>
      <c r="C37" s="18" t="n">
        <v>900</v>
      </c>
      <c r="D37" s="33" t="n">
        <f aca="false">C37/44600</f>
        <v>0.0201793721973094</v>
      </c>
      <c r="E37" s="33" t="n">
        <v>-0.25</v>
      </c>
      <c r="F37" s="35"/>
    </row>
    <row r="38" customFormat="false" ht="19.5" hidden="false" customHeight="true" outlineLevel="0" collapsed="false">
      <c r="A38" s="31" t="s">
        <v>83</v>
      </c>
      <c r="B38" s="32" t="s">
        <v>113</v>
      </c>
      <c r="C38" s="18" t="n">
        <v>400</v>
      </c>
      <c r="D38" s="33" t="n">
        <f aca="false">C38/44600</f>
        <v>0.00896860986547085</v>
      </c>
      <c r="E38" s="33" t="n">
        <v>-0.2</v>
      </c>
      <c r="F38" s="35"/>
    </row>
    <row r="39" customFormat="false" ht="19.5" hidden="false" customHeight="true" outlineLevel="0" collapsed="false">
      <c r="A39" s="31" t="s">
        <v>83</v>
      </c>
      <c r="B39" s="32" t="s">
        <v>114</v>
      </c>
      <c r="C39" s="18" t="n">
        <v>700</v>
      </c>
      <c r="D39" s="33" t="n">
        <f aca="false">C39/44600</f>
        <v>0.015695067264574</v>
      </c>
      <c r="E39" s="33" t="n">
        <v>-0.125</v>
      </c>
      <c r="F39" s="35"/>
    </row>
  </sheetData>
  <mergeCells count="5">
    <mergeCell ref="A1:F1"/>
    <mergeCell ref="A2:F2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F7F"/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16"/>
    <col collapsed="false" customWidth="true" hidden="false" outlineLevel="0" max="8" min="7" style="0" width="18"/>
  </cols>
  <sheetData>
    <row r="1" customFormat="false" ht="36" hidden="false" customHeight="true" outlineLevel="0" collapsed="false">
      <c r="A1" s="6" t="s">
        <v>117</v>
      </c>
      <c r="B1" s="6"/>
      <c r="C1" s="6"/>
      <c r="D1" s="6"/>
      <c r="E1" s="6"/>
      <c r="F1" s="6"/>
      <c r="G1" s="6"/>
    </row>
    <row r="2" customFormat="false" ht="15" hidden="false" customHeight="false" outlineLevel="0" collapsed="false">
      <c r="A2" s="7" t="s">
        <v>118</v>
      </c>
      <c r="B2" s="7"/>
      <c r="C2" s="7"/>
      <c r="D2" s="7"/>
      <c r="E2" s="7"/>
      <c r="F2" s="7"/>
      <c r="G2" s="7"/>
    </row>
    <row r="4" customFormat="false" ht="27.75" hidden="false" customHeight="true" outlineLevel="0" collapsed="false">
      <c r="A4" s="36" t="s">
        <v>119</v>
      </c>
      <c r="B4" s="36"/>
      <c r="C4" s="36"/>
      <c r="D4" s="36"/>
      <c r="E4" s="36"/>
      <c r="F4" s="36"/>
      <c r="G4" s="36"/>
      <c r="H4" s="36"/>
    </row>
    <row r="5" customFormat="false" ht="19.5" hidden="false" customHeight="true" outlineLevel="0" collapsed="false">
      <c r="A5" s="37" t="s">
        <v>120</v>
      </c>
      <c r="B5" s="37"/>
      <c r="C5" s="37"/>
      <c r="D5" s="37"/>
      <c r="E5" s="37"/>
      <c r="F5" s="37"/>
      <c r="G5" s="37"/>
      <c r="H5" s="37"/>
    </row>
    <row r="6" customFormat="false" ht="24" hidden="false" customHeight="true" outlineLevel="0" collapsed="false">
      <c r="A6" s="16" t="s">
        <v>61</v>
      </c>
      <c r="B6" s="16" t="s">
        <v>62</v>
      </c>
      <c r="C6" s="16" t="s">
        <v>63</v>
      </c>
      <c r="D6" s="16" t="s">
        <v>64</v>
      </c>
      <c r="E6" s="16" t="s">
        <v>65</v>
      </c>
      <c r="F6" s="16" t="s">
        <v>66</v>
      </c>
      <c r="G6" s="16" t="s">
        <v>67</v>
      </c>
      <c r="H6" s="16" t="s">
        <v>68</v>
      </c>
    </row>
    <row r="7" customFormat="false" ht="19.5" hidden="false" customHeight="true" outlineLevel="0" collapsed="false">
      <c r="A7" s="38" t="s">
        <v>121</v>
      </c>
      <c r="B7" s="39" t="n">
        <v>180000</v>
      </c>
      <c r="C7" s="39" t="n">
        <v>182000</v>
      </c>
      <c r="D7" s="39" t="n">
        <v>52000</v>
      </c>
      <c r="E7" s="39" t="n">
        <v>50000</v>
      </c>
      <c r="F7" s="39" t="n">
        <v>28000</v>
      </c>
      <c r="G7" s="39" t="n">
        <v>22000</v>
      </c>
      <c r="H7" s="39" t="n">
        <v>6000</v>
      </c>
    </row>
    <row r="8" customFormat="false" ht="19.5" hidden="false" customHeight="true" outlineLevel="0" collapsed="false">
      <c r="A8" s="38" t="s">
        <v>122</v>
      </c>
      <c r="B8" s="39" t="n">
        <v>182000</v>
      </c>
      <c r="C8" s="39" t="n">
        <v>185500</v>
      </c>
      <c r="D8" s="39" t="n">
        <v>54000</v>
      </c>
      <c r="E8" s="39" t="n">
        <v>50500</v>
      </c>
      <c r="F8" s="39" t="n">
        <v>28000</v>
      </c>
      <c r="G8" s="39" t="n">
        <v>23500</v>
      </c>
      <c r="H8" s="39" t="n">
        <v>6200</v>
      </c>
    </row>
    <row r="9" customFormat="false" ht="19.5" hidden="false" customHeight="true" outlineLevel="0" collapsed="false">
      <c r="A9" s="38" t="s">
        <v>123</v>
      </c>
      <c r="B9" s="39" t="n">
        <v>185500</v>
      </c>
      <c r="C9" s="39" t="n">
        <v>190200</v>
      </c>
      <c r="D9" s="39" t="n">
        <v>56000</v>
      </c>
      <c r="E9" s="39" t="n">
        <v>51300</v>
      </c>
      <c r="F9" s="39" t="n">
        <v>28000</v>
      </c>
      <c r="G9" s="39" t="n">
        <v>24100</v>
      </c>
      <c r="H9" s="39" t="n">
        <v>6400</v>
      </c>
    </row>
    <row r="12" customFormat="false" ht="27.75" hidden="false" customHeight="true" outlineLevel="0" collapsed="false">
      <c r="A12" s="36" t="s">
        <v>124</v>
      </c>
      <c r="B12" s="36"/>
      <c r="C12" s="36"/>
      <c r="D12" s="36"/>
      <c r="E12" s="36"/>
      <c r="F12" s="36"/>
      <c r="G12" s="36"/>
      <c r="H12" s="36"/>
    </row>
    <row r="13" customFormat="false" ht="19.5" hidden="false" customHeight="true" outlineLevel="0" collapsed="false">
      <c r="A13" s="40" t="s">
        <v>125</v>
      </c>
      <c r="B13" s="40"/>
      <c r="C13" s="40"/>
      <c r="D13" s="40"/>
      <c r="E13" s="40"/>
      <c r="F13" s="40"/>
      <c r="G13" s="40"/>
      <c r="H13" s="40"/>
    </row>
    <row r="14" customFormat="false" ht="24" hidden="false" customHeight="true" outlineLevel="0" collapsed="false">
      <c r="A14" s="16" t="s">
        <v>61</v>
      </c>
      <c r="B14" s="16" t="s">
        <v>62</v>
      </c>
      <c r="C14" s="16" t="s">
        <v>63</v>
      </c>
      <c r="D14" s="16" t="s">
        <v>64</v>
      </c>
      <c r="E14" s="16" t="s">
        <v>65</v>
      </c>
      <c r="F14" s="16" t="s">
        <v>66</v>
      </c>
      <c r="G14" s="16" t="s">
        <v>67</v>
      </c>
      <c r="H14" s="16" t="s">
        <v>68</v>
      </c>
    </row>
    <row r="15" customFormat="false" ht="19.5" hidden="false" customHeight="true" outlineLevel="0" collapsed="false">
      <c r="A15" s="41" t="s">
        <v>121</v>
      </c>
      <c r="B15" s="42" t="n">
        <v>95000</v>
      </c>
      <c r="C15" s="42" t="n">
        <v>83000</v>
      </c>
      <c r="D15" s="42" t="n">
        <v>32000</v>
      </c>
      <c r="E15" s="42" t="n">
        <v>44000</v>
      </c>
      <c r="F15" s="42" t="n">
        <v>26000</v>
      </c>
      <c r="G15" s="42" t="n">
        <v>8000</v>
      </c>
      <c r="H15" s="42" t="n">
        <v>9200</v>
      </c>
    </row>
    <row r="16" customFormat="false" ht="19.5" hidden="false" customHeight="true" outlineLevel="0" collapsed="false">
      <c r="A16" s="41" t="s">
        <v>122</v>
      </c>
      <c r="B16" s="42" t="n">
        <v>83000</v>
      </c>
      <c r="C16" s="42" t="n">
        <v>70200</v>
      </c>
      <c r="D16" s="42" t="n">
        <v>33000</v>
      </c>
      <c r="E16" s="42" t="n">
        <v>45800</v>
      </c>
      <c r="F16" s="42" t="n">
        <v>26000</v>
      </c>
      <c r="G16" s="42" t="n">
        <v>8500</v>
      </c>
      <c r="H16" s="42" t="n">
        <v>9800</v>
      </c>
    </row>
    <row r="17" customFormat="false" ht="19.5" hidden="false" customHeight="true" outlineLevel="0" collapsed="false">
      <c r="A17" s="41" t="s">
        <v>123</v>
      </c>
      <c r="B17" s="42" t="n">
        <v>70200</v>
      </c>
      <c r="C17" s="42" t="n">
        <v>56800</v>
      </c>
      <c r="D17" s="42" t="n">
        <v>34500</v>
      </c>
      <c r="E17" s="42" t="n">
        <v>47900</v>
      </c>
      <c r="F17" s="42" t="n">
        <v>28000</v>
      </c>
      <c r="G17" s="42" t="n">
        <v>9100</v>
      </c>
      <c r="H17" s="42" t="n">
        <v>10200</v>
      </c>
    </row>
    <row r="20" customFormat="false" ht="27.75" hidden="false" customHeight="true" outlineLevel="0" collapsed="false">
      <c r="A20" s="36" t="s">
        <v>126</v>
      </c>
      <c r="B20" s="36"/>
      <c r="C20" s="36"/>
      <c r="D20" s="36"/>
      <c r="E20" s="36"/>
      <c r="F20" s="36"/>
      <c r="G20" s="36"/>
      <c r="H20" s="36"/>
    </row>
    <row r="21" customFormat="false" ht="19.5" hidden="false" customHeight="true" outlineLevel="0" collapsed="false">
      <c r="A21" s="43" t="s">
        <v>127</v>
      </c>
      <c r="B21" s="43"/>
      <c r="C21" s="43"/>
      <c r="D21" s="43"/>
      <c r="E21" s="43"/>
      <c r="F21" s="43"/>
      <c r="G21" s="43"/>
      <c r="H21" s="43"/>
    </row>
    <row r="22" customFormat="false" ht="24" hidden="false" customHeight="true" outlineLevel="0" collapsed="false">
      <c r="A22" s="16" t="s">
        <v>61</v>
      </c>
      <c r="B22" s="16" t="s">
        <v>62</v>
      </c>
      <c r="C22" s="16" t="s">
        <v>63</v>
      </c>
      <c r="D22" s="16" t="s">
        <v>64</v>
      </c>
      <c r="E22" s="16" t="s">
        <v>65</v>
      </c>
      <c r="F22" s="16" t="s">
        <v>66</v>
      </c>
      <c r="G22" s="16" t="s">
        <v>67</v>
      </c>
      <c r="H22" s="16" t="s">
        <v>68</v>
      </c>
    </row>
    <row r="23" customFormat="false" ht="19.5" hidden="false" customHeight="true" outlineLevel="0" collapsed="false">
      <c r="A23" s="44" t="s">
        <v>121</v>
      </c>
      <c r="B23" s="45" t="n">
        <v>72000</v>
      </c>
      <c r="C23" s="45" t="n">
        <v>55200</v>
      </c>
      <c r="D23" s="45" t="n">
        <v>28000</v>
      </c>
      <c r="E23" s="45" t="n">
        <v>44800</v>
      </c>
      <c r="F23" s="45" t="n">
        <v>26000</v>
      </c>
      <c r="G23" s="45" t="n">
        <v>18000</v>
      </c>
      <c r="H23" s="45" t="n">
        <v>14200</v>
      </c>
    </row>
    <row r="24" customFormat="false" ht="19.5" hidden="false" customHeight="true" outlineLevel="0" collapsed="false">
      <c r="A24" s="44" t="s">
        <v>122</v>
      </c>
      <c r="B24" s="45" t="n">
        <v>55200</v>
      </c>
      <c r="C24" s="45" t="n">
        <v>38100</v>
      </c>
      <c r="D24" s="45" t="n">
        <v>29500</v>
      </c>
      <c r="E24" s="45" t="n">
        <v>46600</v>
      </c>
      <c r="F24" s="45" t="n">
        <v>26000</v>
      </c>
      <c r="G24" s="45" t="n">
        <v>21000</v>
      </c>
      <c r="H24" s="45" t="n">
        <v>16800</v>
      </c>
    </row>
    <row r="25" customFormat="false" ht="19.5" hidden="false" customHeight="true" outlineLevel="0" collapsed="false">
      <c r="A25" s="44" t="s">
        <v>123</v>
      </c>
      <c r="B25" s="45" t="n">
        <v>38100</v>
      </c>
      <c r="C25" s="45" t="n">
        <v>20400</v>
      </c>
      <c r="D25" s="45" t="n">
        <v>31000</v>
      </c>
      <c r="E25" s="45" t="n">
        <v>48700</v>
      </c>
      <c r="F25" s="45" t="n">
        <v>28000</v>
      </c>
      <c r="G25" s="45" t="n">
        <v>24000</v>
      </c>
      <c r="H25" s="45" t="n">
        <v>18900</v>
      </c>
    </row>
    <row r="28" customFormat="false" ht="27.75" hidden="false" customHeight="true" outlineLevel="0" collapsed="false">
      <c r="A28" s="36" t="s">
        <v>128</v>
      </c>
      <c r="B28" s="36"/>
      <c r="C28" s="36"/>
      <c r="D28" s="36"/>
      <c r="E28" s="36"/>
      <c r="F28" s="36"/>
      <c r="G28" s="36"/>
      <c r="H28" s="36"/>
    </row>
    <row r="29" customFormat="false" ht="19.5" hidden="false" customHeight="true" outlineLevel="0" collapsed="false">
      <c r="A29" s="46" t="s">
        <v>129</v>
      </c>
      <c r="B29" s="46"/>
      <c r="C29" s="46"/>
      <c r="D29" s="46"/>
      <c r="E29" s="46"/>
      <c r="F29" s="46"/>
      <c r="G29" s="46"/>
      <c r="H29" s="46"/>
    </row>
    <row r="30" customFormat="false" ht="24" hidden="false" customHeight="true" outlineLevel="0" collapsed="false">
      <c r="A30" s="16" t="s">
        <v>61</v>
      </c>
      <c r="B30" s="16" t="s">
        <v>62</v>
      </c>
      <c r="C30" s="16" t="s">
        <v>63</v>
      </c>
      <c r="D30" s="16" t="s">
        <v>64</v>
      </c>
      <c r="E30" s="16" t="s">
        <v>65</v>
      </c>
      <c r="F30" s="16" t="s">
        <v>66</v>
      </c>
      <c r="G30" s="16" t="s">
        <v>67</v>
      </c>
      <c r="H30" s="16" t="s">
        <v>68</v>
      </c>
    </row>
    <row r="31" customFormat="false" ht="19.5" hidden="false" customHeight="true" outlineLevel="0" collapsed="false">
      <c r="A31" s="47" t="s">
        <v>121</v>
      </c>
      <c r="B31" s="48" t="n">
        <v>140000</v>
      </c>
      <c r="C31" s="48" t="n">
        <v>122000</v>
      </c>
      <c r="D31" s="48" t="n">
        <v>22000</v>
      </c>
      <c r="E31" s="48" t="n">
        <v>40000</v>
      </c>
      <c r="F31" s="48" t="n">
        <v>24000</v>
      </c>
      <c r="G31" s="48" t="n">
        <v>5000</v>
      </c>
      <c r="H31" s="48" t="n">
        <v>8000</v>
      </c>
    </row>
    <row r="32" customFormat="false" ht="19.5" hidden="false" customHeight="true" outlineLevel="0" collapsed="false">
      <c r="A32" s="47" t="s">
        <v>122</v>
      </c>
      <c r="B32" s="48" t="n">
        <v>122000</v>
      </c>
      <c r="C32" s="48" t="n">
        <v>106000</v>
      </c>
      <c r="D32" s="48" t="n">
        <v>24000</v>
      </c>
      <c r="E32" s="48" t="n">
        <v>40000</v>
      </c>
      <c r="F32" s="48" t="n">
        <v>24000</v>
      </c>
      <c r="G32" s="48" t="n">
        <v>5500</v>
      </c>
      <c r="H32" s="48" t="n">
        <v>8000</v>
      </c>
    </row>
    <row r="33" customFormat="false" ht="19.5" hidden="false" customHeight="true" outlineLevel="0" collapsed="false">
      <c r="A33" s="47" t="s">
        <v>123</v>
      </c>
      <c r="B33" s="48" t="n">
        <v>106000</v>
      </c>
      <c r="C33" s="48" t="n">
        <v>112000</v>
      </c>
      <c r="D33" s="48" t="n">
        <v>48000</v>
      </c>
      <c r="E33" s="48" t="n">
        <v>42000</v>
      </c>
      <c r="F33" s="48" t="n">
        <v>24000</v>
      </c>
      <c r="G33" s="48" t="n">
        <v>12000</v>
      </c>
      <c r="H33" s="48" t="n">
        <v>8500</v>
      </c>
    </row>
    <row r="34" customFormat="false" ht="19.5" hidden="false" customHeight="true" outlineLevel="0" collapsed="false">
      <c r="A34" s="47" t="s">
        <v>130</v>
      </c>
      <c r="B34" s="48" t="n">
        <v>112000</v>
      </c>
      <c r="C34" s="48" t="n">
        <v>128000</v>
      </c>
      <c r="D34" s="48" t="n">
        <v>62000</v>
      </c>
      <c r="E34" s="48" t="n">
        <v>46000</v>
      </c>
      <c r="F34" s="48" t="n">
        <v>26000</v>
      </c>
      <c r="G34" s="48" t="n">
        <v>18000</v>
      </c>
      <c r="H34" s="48" t="n">
        <v>9000</v>
      </c>
    </row>
    <row r="35" customFormat="false" ht="19.5" hidden="false" customHeight="true" outlineLevel="0" collapsed="false">
      <c r="A35" s="47" t="s">
        <v>131</v>
      </c>
      <c r="B35" s="48" t="n">
        <v>128000</v>
      </c>
      <c r="C35" s="48" t="n">
        <v>148000</v>
      </c>
      <c r="D35" s="48" t="n">
        <v>68000</v>
      </c>
      <c r="E35" s="48" t="n">
        <v>48000</v>
      </c>
      <c r="F35" s="48" t="n">
        <v>26000</v>
      </c>
      <c r="G35" s="48" t="n">
        <v>22000</v>
      </c>
      <c r="H35" s="48" t="n">
        <v>9500</v>
      </c>
    </row>
    <row r="38" customFormat="false" ht="27.75" hidden="false" customHeight="true" outlineLevel="0" collapsed="false">
      <c r="A38" s="36" t="s">
        <v>132</v>
      </c>
      <c r="B38" s="36"/>
      <c r="C38" s="36"/>
      <c r="D38" s="36"/>
      <c r="E38" s="36"/>
      <c r="F38" s="36"/>
      <c r="G38" s="36"/>
      <c r="H38" s="36"/>
    </row>
    <row r="39" customFormat="false" ht="19.5" hidden="false" customHeight="true" outlineLevel="0" collapsed="false">
      <c r="A39" s="49" t="s">
        <v>133</v>
      </c>
      <c r="B39" s="49"/>
      <c r="C39" s="49"/>
      <c r="D39" s="49"/>
      <c r="E39" s="49"/>
      <c r="F39" s="49"/>
      <c r="G39" s="49"/>
      <c r="H39" s="49"/>
    </row>
    <row r="40" customFormat="false" ht="24" hidden="false" customHeight="true" outlineLevel="0" collapsed="false">
      <c r="A40" s="16" t="s">
        <v>61</v>
      </c>
      <c r="B40" s="16" t="s">
        <v>62</v>
      </c>
      <c r="C40" s="16" t="s">
        <v>63</v>
      </c>
      <c r="D40" s="16" t="s">
        <v>64</v>
      </c>
      <c r="E40" s="16" t="s">
        <v>65</v>
      </c>
      <c r="F40" s="16" t="s">
        <v>66</v>
      </c>
      <c r="G40" s="16" t="s">
        <v>67</v>
      </c>
      <c r="H40" s="16" t="s">
        <v>68</v>
      </c>
    </row>
    <row r="41" customFormat="false" ht="19.5" hidden="false" customHeight="true" outlineLevel="0" collapsed="false">
      <c r="A41" s="50" t="s">
        <v>121</v>
      </c>
      <c r="B41" s="51" t="n">
        <v>55000</v>
      </c>
      <c r="C41" s="51" t="n">
        <v>48200</v>
      </c>
      <c r="D41" s="51" t="n">
        <v>45000</v>
      </c>
      <c r="E41" s="51" t="n">
        <v>51800</v>
      </c>
      <c r="F41" s="51" t="n">
        <v>28000</v>
      </c>
      <c r="G41" s="51" t="n">
        <v>38000</v>
      </c>
      <c r="H41" s="51" t="n">
        <v>5000</v>
      </c>
    </row>
    <row r="42" customFormat="false" ht="19.5" hidden="false" customHeight="true" outlineLevel="0" collapsed="false">
      <c r="A42" s="50" t="s">
        <v>122</v>
      </c>
      <c r="B42" s="51" t="n">
        <v>48200</v>
      </c>
      <c r="C42" s="51" t="n">
        <v>42100</v>
      </c>
      <c r="D42" s="51" t="n">
        <v>46500</v>
      </c>
      <c r="E42" s="51" t="n">
        <v>52600</v>
      </c>
      <c r="F42" s="51" t="n">
        <v>28000</v>
      </c>
      <c r="G42" s="51" t="n">
        <v>42000</v>
      </c>
      <c r="H42" s="51" t="n">
        <v>5200</v>
      </c>
    </row>
    <row r="43" customFormat="false" ht="19.5" hidden="false" customHeight="true" outlineLevel="0" collapsed="false">
      <c r="A43" s="50" t="s">
        <v>123</v>
      </c>
      <c r="B43" s="51" t="n">
        <v>42100</v>
      </c>
      <c r="C43" s="51" t="n">
        <v>36800</v>
      </c>
      <c r="D43" s="51" t="n">
        <v>48000</v>
      </c>
      <c r="E43" s="51" t="n">
        <v>53300</v>
      </c>
      <c r="F43" s="51" t="n">
        <v>28000</v>
      </c>
      <c r="G43" s="51" t="n">
        <v>47000</v>
      </c>
      <c r="H43" s="51" t="n">
        <v>5400</v>
      </c>
    </row>
  </sheetData>
  <mergeCells count="12">
    <mergeCell ref="A1:G1"/>
    <mergeCell ref="A2:G2"/>
    <mergeCell ref="A4:H4"/>
    <mergeCell ref="A5:H5"/>
    <mergeCell ref="A12:H12"/>
    <mergeCell ref="A13:H13"/>
    <mergeCell ref="A20:H20"/>
    <mergeCell ref="A21:H21"/>
    <mergeCell ref="A28:H28"/>
    <mergeCell ref="A29:H29"/>
    <mergeCell ref="A38:H38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2026-04-13T01:03:58Z</dcterms:created>
  <dc:creator>openpyxl</dc:creator>
  <dc:description/>
  <dc:language>en-US</dc:language>
  <cp:lastModifiedBy/>
  <dcterms:modified xsi:type="dcterms:W3CDTF">2026-04-13T01:03:58Z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