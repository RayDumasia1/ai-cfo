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usiness Info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Expense Categories" sheetId="4" state="visible" r:id="rId4"/>
    <sheet xmlns:r="http://schemas.openxmlformats.org/officeDocument/2006/relationships" name="Sampl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\(#,##0\);\-"/>
    <numFmt numFmtId="165" formatCode="\$#,##0;&quot;($&quot;#,##0\);\-"/>
    <numFmt numFmtId="166" formatCode="0.0%;\(0.0%\);\-"/>
    <numFmt numFmtId="167" formatCode="mmm\-yyyy"/>
    <numFmt numFmtId="168" formatCode="0.0"/>
  </numFmts>
  <fonts count="22">
    <font>
      <name val="Calibri"/>
      <color theme="1"/>
      <sz val="11"/>
      <scheme val="minor"/>
    </font>
    <font>
      <name val="Arial"/>
      <b val="1"/>
      <color rgb="FFFFFFFF"/>
      <sz val="22"/>
    </font>
    <font/>
    <font>
      <name val="Arial"/>
      <color rgb="FFD4AF7F"/>
      <sz val="11"/>
    </font>
    <font>
      <name val="Arial"/>
      <color rgb="FF6B7A8D"/>
      <sz val="10"/>
    </font>
    <font>
      <name val="Arial"/>
      <b val="1"/>
      <color rgb="FFFFFFFF"/>
      <sz val="11"/>
    </font>
    <font>
      <name val="Arial"/>
      <color rgb="FF344150"/>
      <sz val="10"/>
    </font>
    <font>
      <name val="Arial"/>
      <b val="1"/>
      <color rgb="FFFFFFFF"/>
      <sz val="13"/>
    </font>
    <font>
      <name val="Arial"/>
      <i val="1"/>
      <color rgb="FF6B7A8D"/>
      <sz val="9"/>
    </font>
    <font>
      <name val="Arial"/>
      <b val="1"/>
      <color rgb="FFFFFFFF"/>
      <sz val="10"/>
    </font>
    <font>
      <name val="Arial"/>
      <b val="1"/>
      <color rgb="FF0A1A2F"/>
      <sz val="10"/>
    </font>
    <font>
      <name val="Arial"/>
      <color rgb="FF0000FF"/>
      <sz val="10"/>
    </font>
    <font>
      <name val="Arial"/>
      <color rgb="FF000000"/>
      <sz val="10"/>
    </font>
    <font>
      <name val="Arial"/>
      <color rgb="FF0000FF"/>
      <sz val="9"/>
    </font>
    <font>
      <name val="Calibri"/>
      <color theme="1"/>
      <sz val="11"/>
    </font>
    <font>
      <name val="Arial"/>
      <b val="1"/>
      <color rgb="FF000000"/>
      <sz val="10"/>
    </font>
    <font>
      <name val="Arial"/>
      <color rgb="FF344150"/>
      <sz val="9"/>
    </font>
    <font>
      <name val="Arial"/>
      <i val="1"/>
      <color rgb="FF166534"/>
      <sz val="9"/>
    </font>
    <font>
      <name val="Arial"/>
      <i val="1"/>
      <color rgb="FF7D4E00"/>
      <sz val="9"/>
    </font>
    <font>
      <name val="Arial"/>
      <i val="1"/>
      <color rgb="FFA32D2D"/>
      <sz val="9"/>
    </font>
    <font>
      <name val="Arial"/>
      <i val="1"/>
      <color rgb="FF344150"/>
      <sz val="9"/>
    </font>
    <font>
      <name val="Arial"/>
      <b val="1"/>
      <color rgb="00FFFFFF"/>
      <sz val="10"/>
    </font>
  </fonts>
  <fills count="15">
    <fill>
      <patternFill/>
    </fill>
    <fill>
      <patternFill patternType="lightGray"/>
    </fill>
    <fill>
      <patternFill patternType="solid">
        <fgColor rgb="FF0A1A2F"/>
        <bgColor rgb="FF0A1A2F"/>
      </patternFill>
    </fill>
    <fill>
      <patternFill patternType="solid">
        <fgColor rgb="FFF4F7FA"/>
        <bgColor rgb="FFF4F7FA"/>
      </patternFill>
    </fill>
    <fill>
      <patternFill patternType="solid">
        <fgColor rgb="FF2CA6A4"/>
        <bgColor rgb="FF2CA6A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44150"/>
        <bgColor rgb="FF344150"/>
      </patternFill>
    </fill>
    <fill>
      <patternFill patternType="solid">
        <fgColor rgb="FFE8F7F7"/>
        <bgColor rgb="FFE8F7F7"/>
      </patternFill>
    </fill>
    <fill>
      <patternFill patternType="solid">
        <fgColor rgb="FFC5E8E8"/>
        <bgColor rgb="FFC5E8E8"/>
      </patternFill>
    </fill>
    <fill>
      <patternFill patternType="solid">
        <fgColor rgb="FFEAF3DE"/>
        <bgColor rgb="FFEAF3DE"/>
      </patternFill>
    </fill>
    <fill>
      <patternFill patternType="solid">
        <fgColor rgb="FFFFF3CD"/>
        <bgColor rgb="FFFFF3CD"/>
      </patternFill>
    </fill>
    <fill>
      <patternFill patternType="solid">
        <fgColor rgb="FFFCEAEA"/>
        <bgColor rgb="FFFCEAEA"/>
      </patternFill>
    </fill>
    <fill>
      <patternFill patternType="solid">
        <fgColor rgb="FFFBF5EC"/>
        <bgColor rgb="FFFBF5EC"/>
      </patternFill>
    </fill>
    <fill>
      <patternFill patternType="solid">
        <fgColor rgb="000A1A2F"/>
        <bgColor rgb="000A1A2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D8E2EC"/>
      </left>
      <right style="thin">
        <color rgb="FFD8E2EC"/>
      </right>
      <top style="thin">
        <color rgb="FFD8E2EC"/>
      </top>
      <bottom style="thin">
        <color rgb="FFD8E2EC"/>
      </bottom>
    </border>
    <border>
      <left style="thin">
        <color rgb="FF0A1A2F"/>
      </left>
      <right style="thin">
        <color rgb="FF0A1A2F"/>
      </right>
      <top style="thin">
        <color rgb="FF0A1A2F"/>
      </top>
      <bottom style="thin">
        <color rgb="FF0A1A2F"/>
      </bottom>
    </border>
    <border>
      <left style="thin">
        <color rgb="FF0A1A2F"/>
      </left>
      <top style="thin">
        <color rgb="FF0A1A2F"/>
      </top>
      <bottom style="thin">
        <color rgb="FF0A1A2F"/>
      </bottom>
    </border>
    <border>
      <top style="thin">
        <color rgb="FF0A1A2F"/>
      </top>
      <bottom style="thin">
        <color rgb="FF0A1A2F"/>
      </bottom>
    </border>
    <border>
      <right style="thin">
        <color rgb="FF0A1A2F"/>
      </right>
      <top style="thin">
        <color rgb="FF0A1A2F"/>
      </top>
      <bottom style="thin">
        <color rgb="FF0A1A2F"/>
      </bottom>
    </border>
    <border>
      <left/>
      <right/>
      <top/>
      <bottom/>
    </border>
    <border>
      <top style="thin">
        <color rgb="FF0A1A2F"/>
      </top>
    </border>
    <border>
      <right style="thin">
        <color rgb="FF0A1A2F"/>
      </right>
      <top style="thin">
        <color rgb="FF0A1A2F"/>
      </top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vertical="bottom"/>
    </xf>
    <xf numFmtId="0" fontId="7" fillId="2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3" borderId="4" applyAlignment="1" pivotButton="0" quotePrefix="0" xfId="0">
      <alignment horizontal="left" vertical="center"/>
    </xf>
    <xf numFmtId="0" fontId="11" fillId="5" borderId="4" applyAlignment="1" pivotButton="0" quotePrefix="0" xfId="0">
      <alignment horizontal="right" vertical="center"/>
    </xf>
    <xf numFmtId="0" fontId="8" fillId="3" borderId="1" applyAlignment="1" pivotButton="0" quotePrefix="0" xfId="0">
      <alignment vertical="bottom"/>
    </xf>
    <xf numFmtId="164" fontId="11" fillId="5" borderId="4" applyAlignment="1" pivotButton="0" quotePrefix="0" xfId="0">
      <alignment horizontal="right" vertical="center"/>
    </xf>
    <xf numFmtId="165" fontId="11" fillId="6" borderId="4" applyAlignment="1" pivotButton="0" quotePrefix="0" xfId="0">
      <alignment horizontal="right" vertical="center"/>
    </xf>
    <xf numFmtId="164" fontId="11" fillId="6" borderId="4" applyAlignment="1" pivotButton="0" quotePrefix="0" xfId="0">
      <alignment horizontal="right" vertical="center"/>
    </xf>
    <xf numFmtId="166" fontId="11" fillId="6" borderId="4" applyAlignment="1" pivotButton="0" quotePrefix="0" xfId="0">
      <alignment horizontal="right" vertical="center"/>
    </xf>
    <xf numFmtId="0" fontId="9" fillId="7" borderId="5" applyAlignment="1" pivotButton="0" quotePrefix="0" xfId="0">
      <alignment horizontal="center" vertical="center"/>
    </xf>
    <xf numFmtId="167" fontId="11" fillId="5" borderId="4" applyAlignment="1" pivotButton="0" quotePrefix="0" xfId="0">
      <alignment horizontal="center" vertical="center"/>
    </xf>
    <xf numFmtId="165" fontId="11" fillId="5" borderId="4" applyAlignment="1" pivotButton="0" quotePrefix="0" xfId="0">
      <alignment horizontal="right" vertical="center"/>
    </xf>
    <xf numFmtId="165" fontId="12" fillId="3" borderId="4" applyAlignment="1" pivotButton="0" quotePrefix="0" xfId="0">
      <alignment horizontal="right" vertical="center"/>
    </xf>
    <xf numFmtId="0" fontId="13" fillId="5" borderId="4" applyAlignment="1" pivotButton="0" quotePrefix="0" xfId="0">
      <alignment vertical="bottom"/>
    </xf>
    <xf numFmtId="0" fontId="9" fillId="7" borderId="4" applyAlignment="1" pivotButton="0" quotePrefix="0" xfId="0">
      <alignment horizontal="left" vertical="center"/>
    </xf>
    <xf numFmtId="165" fontId="9" fillId="7" borderId="4" applyAlignment="1" pivotButton="0" quotePrefix="0" xfId="0">
      <alignment horizontal="right" vertical="center"/>
    </xf>
    <xf numFmtId="0" fontId="14" fillId="7" borderId="4" applyAlignment="1" pivotButton="0" quotePrefix="0" xfId="0">
      <alignment vertical="bottom"/>
    </xf>
    <xf numFmtId="0" fontId="10" fillId="8" borderId="4" applyAlignment="1" pivotButton="0" quotePrefix="0" xfId="0">
      <alignment horizontal="left" vertical="center"/>
    </xf>
    <xf numFmtId="165" fontId="15" fillId="8" borderId="4" applyAlignment="1" pivotButton="0" quotePrefix="0" xfId="0">
      <alignment horizontal="right" vertical="center"/>
    </xf>
    <xf numFmtId="0" fontId="8" fillId="8" borderId="1" applyAlignment="1" pivotButton="0" quotePrefix="0" xfId="0">
      <alignment vertical="bottom"/>
    </xf>
    <xf numFmtId="168" fontId="15" fillId="8" borderId="4" applyAlignment="1" pivotButton="0" quotePrefix="0" xfId="0">
      <alignment horizontal="right" vertical="center"/>
    </xf>
    <xf numFmtId="49" fontId="15" fillId="8" borderId="4" applyAlignment="1" pivotButton="0" quotePrefix="0" xfId="0">
      <alignment horizontal="right" vertical="center"/>
    </xf>
    <xf numFmtId="166" fontId="15" fillId="8" borderId="4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  <xf numFmtId="167" fontId="13" fillId="5" borderId="4" applyAlignment="1" pivotButton="0" quotePrefix="0" xfId="0">
      <alignment horizontal="center" vertical="center"/>
    </xf>
    <xf numFmtId="0" fontId="11" fillId="5" borderId="4" applyAlignment="1" pivotButton="0" quotePrefix="0" xfId="0">
      <alignment horizontal="left" vertical="center"/>
    </xf>
    <xf numFmtId="166" fontId="12" fillId="3" borderId="4" applyAlignment="1" pivotButton="0" quotePrefix="0" xfId="0">
      <alignment horizontal="right" vertical="center"/>
    </xf>
    <xf numFmtId="166" fontId="4" fillId="3" borderId="4" applyAlignment="1" pivotButton="0" quotePrefix="0" xfId="0">
      <alignment horizontal="right" vertical="center"/>
    </xf>
    <xf numFmtId="0" fontId="16" fillId="5" borderId="4" applyAlignment="1" pivotButton="0" quotePrefix="0" xfId="0">
      <alignment vertical="bottom"/>
    </xf>
    <xf numFmtId="0" fontId="5" fillId="2" borderId="6" applyAlignment="1" pivotButton="0" quotePrefix="0" xfId="0">
      <alignment horizontal="left" vertical="center"/>
    </xf>
    <xf numFmtId="0" fontId="2" fillId="0" borderId="7" pivotButton="0" quotePrefix="0" xfId="0"/>
    <xf numFmtId="0" fontId="2" fillId="0" borderId="8" pivotButton="0" quotePrefix="0" xfId="0"/>
    <xf numFmtId="0" fontId="17" fillId="10" borderId="1" applyAlignment="1" pivotButton="0" quotePrefix="0" xfId="0">
      <alignment horizontal="left" vertical="center"/>
    </xf>
    <xf numFmtId="0" fontId="11" fillId="10" borderId="4" applyAlignment="1" pivotButton="0" quotePrefix="0" xfId="0">
      <alignment horizontal="center" vertical="center"/>
    </xf>
    <xf numFmtId="165" fontId="11" fillId="10" borderId="4" applyAlignment="1" pivotButton="0" quotePrefix="0" xfId="0">
      <alignment horizontal="right" vertical="center"/>
    </xf>
    <xf numFmtId="0" fontId="18" fillId="11" borderId="1" applyAlignment="1" pivotButton="0" quotePrefix="0" xfId="0">
      <alignment horizontal="left" vertical="center"/>
    </xf>
    <xf numFmtId="0" fontId="11" fillId="11" borderId="4" applyAlignment="1" pivotButton="0" quotePrefix="0" xfId="0">
      <alignment horizontal="center" vertical="center"/>
    </xf>
    <xf numFmtId="165" fontId="11" fillId="11" borderId="4" applyAlignment="1" pivotButton="0" quotePrefix="0" xfId="0">
      <alignment horizontal="right" vertical="center"/>
    </xf>
    <xf numFmtId="0" fontId="19" fillId="12" borderId="1" applyAlignment="1" pivotButton="0" quotePrefix="0" xfId="0">
      <alignment horizontal="left" vertical="center"/>
    </xf>
    <xf numFmtId="0" fontId="11" fillId="12" borderId="4" applyAlignment="1" pivotButton="0" quotePrefix="0" xfId="0">
      <alignment horizontal="center" vertical="center"/>
    </xf>
    <xf numFmtId="165" fontId="11" fillId="12" borderId="4" applyAlignment="1" pivotButton="0" quotePrefix="0" xfId="0">
      <alignment horizontal="right" vertical="center"/>
    </xf>
    <xf numFmtId="0" fontId="20" fillId="8" borderId="1" applyAlignment="1" pivotButton="0" quotePrefix="0" xfId="0">
      <alignment horizontal="left" vertical="center"/>
    </xf>
    <xf numFmtId="0" fontId="11" fillId="8" borderId="4" applyAlignment="1" pivotButton="0" quotePrefix="0" xfId="0">
      <alignment horizontal="center" vertical="center"/>
    </xf>
    <xf numFmtId="165" fontId="11" fillId="8" borderId="4" applyAlignment="1" pivotButton="0" quotePrefix="0" xfId="0">
      <alignment horizontal="right" vertical="center"/>
    </xf>
    <xf numFmtId="0" fontId="20" fillId="13" borderId="1" applyAlignment="1" pivotButton="0" quotePrefix="0" xfId="0">
      <alignment horizontal="left" vertical="center"/>
    </xf>
    <xf numFmtId="0" fontId="11" fillId="13" borderId="4" applyAlignment="1" pivotButton="0" quotePrefix="0" xfId="0">
      <alignment horizontal="center" vertical="center"/>
    </xf>
    <xf numFmtId="165" fontId="11" fillId="13" borderId="4" applyAlignment="1" pivotButton="0" quotePrefix="0" xfId="0">
      <alignment horizontal="right" vertical="center"/>
    </xf>
    <xf numFmtId="0" fontId="0" fillId="0" borderId="0" pivotButton="0" quotePrefix="0" xfId="0"/>
    <xf numFmtId="0" fontId="1" fillId="2" borderId="9" applyAlignment="1" pivotButton="0" quotePrefix="0" xfId="0">
      <alignment horizontal="left" vertical="center"/>
    </xf>
    <xf numFmtId="0" fontId="3" fillId="2" borderId="9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4" borderId="9" applyAlignment="1" pivotButton="0" quotePrefix="0" xfId="0">
      <alignment horizontal="left" vertical="center"/>
    </xf>
    <xf numFmtId="0" fontId="6" fillId="5" borderId="9" applyAlignment="1" pivotButton="0" quotePrefix="0" xfId="0">
      <alignment vertical="bottom"/>
    </xf>
    <xf numFmtId="0" fontId="7" fillId="2" borderId="9" applyAlignment="1" pivotButton="0" quotePrefix="0" xfId="0">
      <alignment horizontal="left" vertical="center"/>
    </xf>
    <xf numFmtId="0" fontId="8" fillId="3" borderId="9" applyAlignment="1" pivotButton="0" quotePrefix="0" xfId="0">
      <alignment horizontal="left" vertical="center"/>
    </xf>
    <xf numFmtId="0" fontId="9" fillId="4" borderId="9" applyAlignment="1" pivotButton="0" quotePrefix="0" xfId="0">
      <alignment horizontal="left" vertical="center"/>
    </xf>
    <xf numFmtId="0" fontId="8" fillId="3" borderId="9" applyAlignment="1" pivotButton="0" quotePrefix="0" xfId="0">
      <alignment vertical="bottom"/>
    </xf>
    <xf numFmtId="0" fontId="21" fillId="14" borderId="5" applyAlignment="1" pivotButton="0" quotePrefix="0" xfId="0">
      <alignment horizontal="left" vertical="center"/>
    </xf>
    <xf numFmtId="0" fontId="10" fillId="9" borderId="9" applyAlignment="1" pivotButton="0" quotePrefix="0" xfId="0">
      <alignment horizontal="left" vertical="center"/>
    </xf>
    <xf numFmtId="0" fontId="5" fillId="2" borderId="5" applyAlignment="1" pivotButton="0" quotePrefix="0" xfId="0">
      <alignment horizontal="left" vertical="center"/>
    </xf>
    <xf numFmtId="0" fontId="17" fillId="10" borderId="9" applyAlignment="1" pivotButton="0" quotePrefix="0" xfId="0">
      <alignment horizontal="left" vertical="center"/>
    </xf>
    <xf numFmtId="0" fontId="18" fillId="11" borderId="9" applyAlignment="1" pivotButton="0" quotePrefix="0" xfId="0">
      <alignment horizontal="left" vertical="center"/>
    </xf>
    <xf numFmtId="0" fontId="19" fillId="12" borderId="9" applyAlignment="1" pivotButton="0" quotePrefix="0" xfId="0">
      <alignment horizontal="left" vertical="center"/>
    </xf>
    <xf numFmtId="0" fontId="20" fillId="8" borderId="9" applyAlignment="1" pivotButton="0" quotePrefix="0" xfId="0">
      <alignment horizontal="left" vertical="center"/>
    </xf>
    <xf numFmtId="0" fontId="20" fillId="13" borderId="9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CA6A4"/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ColWidth="14.43" defaultRowHeight="15" customHeight="1"/>
  <cols>
    <col width="80" customWidth="1" style="56" min="1" max="1"/>
    <col width="14" customWidth="1" style="56" min="2" max="8"/>
    <col width="8.710000000000001" customWidth="1" style="56" min="9" max="26"/>
  </cols>
  <sheetData>
    <row r="1" ht="49.5" customHeight="1" s="56">
      <c r="A1" s="57" t="inlineStr">
        <is>
          <t>ELIDAN AI</t>
        </is>
      </c>
    </row>
    <row r="2">
      <c r="A2" s="58" t="inlineStr">
        <is>
          <t>Financial Data Import Template  ·  Version 1.1</t>
        </is>
      </c>
    </row>
    <row r="3" ht="27.75" customHeight="1" s="56">
      <c r="A3" s="59" t="inlineStr">
        <is>
          <t>Complete all four sheets to import your financial data into Elidan.</t>
        </is>
      </c>
    </row>
    <row r="5" ht="21.75" customHeight="1" s="56">
      <c r="A5" s="60" t="inlineStr">
        <is>
          <t>COLOUR CODING</t>
        </is>
      </c>
    </row>
    <row r="6">
      <c r="A6" s="61" t="inlineStr">
        <is>
          <t>Blue text = values YOU enter (inputs)</t>
        </is>
      </c>
    </row>
    <row r="7">
      <c r="A7" s="61" t="inlineStr">
        <is>
          <t>Black text = calculated by formula (do not edit)</t>
        </is>
      </c>
    </row>
    <row r="8">
      <c r="A8" s="61" t="inlineStr">
        <is>
          <t>Yellow background = important cells that need your attention</t>
        </is>
      </c>
    </row>
    <row r="10" ht="21.75" customHeight="1" s="56">
      <c r="A10" s="60" t="inlineStr">
        <is>
          <t>SHEET GUIDE</t>
        </is>
      </c>
    </row>
    <row r="11">
      <c r="A11" s="61" t="inlineStr">
        <is>
          <t>1. Business Info  — Enter your business details and settings (one-time setup)</t>
        </is>
      </c>
    </row>
    <row r="12">
      <c r="A12" s="61" t="inlineStr">
        <is>
          <t>2. Monthly Summary  — Enter monthly financial data (required, minimum 3 months)</t>
        </is>
      </c>
    </row>
    <row r="13">
      <c r="A13" s="61" t="inlineStr">
        <is>
          <t>3. Expense Categories  — Monthly expenses by category (Month, Category, Amount — no formulas needed)</t>
        </is>
      </c>
    </row>
    <row r="14">
      <c r="A14" s="61" t="inlineStr">
        <is>
          <t>4. Sample Data  — Reference only. Shows healthy, warning, and critical financial scenarios.</t>
        </is>
      </c>
    </row>
    <row r="16" ht="21.75" customHeight="1" s="56">
      <c r="A16" s="60" t="inlineStr">
        <is>
          <t>IMPORTANT NOTES</t>
        </is>
      </c>
    </row>
    <row r="17">
      <c r="A17" s="61" t="inlineStr">
        <is>
          <t>• Enter data for the most recent 6–12 months for best results</t>
        </is>
      </c>
    </row>
    <row r="18">
      <c r="A18" s="61" t="inlineStr">
        <is>
          <t>• All monetary values should be in USD</t>
        </is>
      </c>
    </row>
    <row r="19">
      <c r="A19" s="61" t="inlineStr">
        <is>
          <t>• Do not add or remove columns in Monthly Summary — column positions are used by the Elidan parser</t>
        </is>
      </c>
    </row>
    <row r="20">
      <c r="A20" s="61" t="inlineStr">
        <is>
          <t>• You may add rows in Monthly Summary and Expense Categories</t>
        </is>
      </c>
    </row>
    <row r="21" ht="15.75" customHeight="1" s="56">
      <c r="A21" s="61" t="inlineStr">
        <is>
          <t>• Dates must be the first day of the month (e.g. 01/01/2026)</t>
        </is>
      </c>
    </row>
    <row r="22" ht="15.75" customHeight="1" s="56">
      <c r="A22" t="inlineStr">
        <is>
          <t>• Expense Categories: one row per category per month — list as many categories as you use</t>
        </is>
      </c>
    </row>
    <row r="23" ht="21.75" customHeight="1" s="56">
      <c r="A23" s="60" t="inlineStr">
        <is>
          <t>DATA DEFINITIONS</t>
        </is>
      </c>
    </row>
    <row r="24" ht="15.75" customHeight="1" s="56">
      <c r="A24" s="61" t="inlineStr">
        <is>
          <t>Opening Cash Balance  — Your total bank balance on the first day of the month</t>
        </is>
      </c>
    </row>
    <row r="25" ht="15.75" customHeight="1" s="56">
      <c r="A25" s="61" t="inlineStr">
        <is>
          <t>Closing Cash Balance  — Your total bank balance on the last day of the month</t>
        </is>
      </c>
    </row>
    <row r="26" ht="15.75" customHeight="1" s="56">
      <c r="A26" s="61" t="inlineStr">
        <is>
          <t>Total Revenue  — All cash received during the month (not invoiced — collected)</t>
        </is>
      </c>
    </row>
    <row r="27" ht="15.75" customHeight="1" s="56">
      <c r="A27" s="61" t="inlineStr">
        <is>
          <t>Total Expenses  — All money paid out during the month</t>
        </is>
      </c>
    </row>
    <row r="28" ht="15.75" customHeight="1" s="56">
      <c r="A28" s="61" t="inlineStr">
        <is>
          <t>AR Outstanding  — Total value of invoices sent but not yet paid by customers</t>
        </is>
      </c>
    </row>
    <row r="29" ht="15.75" customHeight="1" s="56">
      <c r="A29" s="61" t="inlineStr">
        <is>
          <t>AP Outstanding  — Total value of bills received but not yet paid by you</t>
        </is>
      </c>
    </row>
    <row r="30" ht="15.75" customHeight="1" s="56">
      <c r="A30" s="61" t="inlineStr">
        <is>
          <t>Payroll  — Total payroll and contractor payments made during the month</t>
        </is>
      </c>
    </row>
    <row r="31" ht="15.75" customHeight="1" s="56"/>
    <row r="32" ht="15.75" customHeight="1" s="56"/>
    <row r="33" ht="15.75" customHeight="1" s="56"/>
    <row r="34" ht="15.75" customHeight="1" s="56"/>
    <row r="35" ht="15.75" customHeight="1" s="56"/>
    <row r="36" ht="15.75" customHeight="1" s="56"/>
    <row r="37" ht="15.75" customHeight="1" s="56"/>
    <row r="38" ht="15.75" customHeight="1" s="56"/>
    <row r="39" ht="15.75" customHeight="1" s="56"/>
    <row r="40" ht="15.75" customHeight="1" s="56"/>
    <row r="41" ht="15.75" customHeight="1" s="56"/>
    <row r="42" ht="15.75" customHeight="1" s="56"/>
    <row r="43" ht="15.75" customHeight="1" s="56"/>
    <row r="44" ht="15.75" customHeight="1" s="56"/>
    <row r="45" ht="15.75" customHeight="1" s="56"/>
    <row r="46" ht="15.75" customHeight="1" s="56"/>
    <row r="47" ht="15.75" customHeight="1" s="56"/>
    <row r="48" ht="15.75" customHeight="1" s="56"/>
    <row r="49" ht="15.75" customHeight="1" s="56"/>
    <row r="50" ht="15.75" customHeight="1" s="56"/>
    <row r="51" ht="15.75" customHeight="1" s="56"/>
    <row r="52" ht="15.75" customHeight="1" s="56"/>
    <row r="53" ht="15.75" customHeight="1" s="56"/>
    <row r="54" ht="15.75" customHeight="1" s="56"/>
    <row r="55" ht="15.75" customHeight="1" s="56"/>
    <row r="56" ht="15.75" customHeight="1" s="56"/>
    <row r="57" ht="15.75" customHeight="1" s="56"/>
    <row r="58" ht="15.75" customHeight="1" s="56"/>
    <row r="59" ht="15.75" customHeight="1" s="56"/>
    <row r="60" ht="15.75" customHeight="1" s="56"/>
    <row r="61" ht="15.75" customHeight="1" s="56"/>
    <row r="62" ht="15.75" customHeight="1" s="56"/>
    <row r="63" ht="15.75" customHeight="1" s="56"/>
    <row r="64" ht="15.75" customHeight="1" s="56"/>
    <row r="65" ht="15.75" customHeight="1" s="56"/>
    <row r="66" ht="15.75" customHeight="1" s="56"/>
    <row r="67" ht="15.75" customHeight="1" s="56"/>
    <row r="68" ht="15.75" customHeight="1" s="56"/>
    <row r="69" ht="15.75" customHeight="1" s="56"/>
    <row r="70" ht="15.75" customHeight="1" s="56"/>
    <row r="71" ht="15.75" customHeight="1" s="56"/>
    <row r="72" ht="15.75" customHeight="1" s="56"/>
    <row r="73" ht="15.75" customHeight="1" s="56"/>
    <row r="74" ht="15.75" customHeight="1" s="56"/>
    <row r="75" ht="15.75" customHeight="1" s="56"/>
    <row r="76" ht="15.75" customHeight="1" s="56"/>
    <row r="77" ht="15.75" customHeight="1" s="56"/>
    <row r="78" ht="15.75" customHeight="1" s="56"/>
    <row r="79" ht="15.75" customHeight="1" s="56"/>
    <row r="80" ht="15.75" customHeight="1" s="56"/>
    <row r="81" ht="15.75" customHeight="1" s="56"/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0A1A2F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ColWidth="14.43" defaultRowHeight="15" customHeight="1"/>
  <cols>
    <col width="36" customWidth="1" style="56" min="1" max="1"/>
    <col width="22" customWidth="1" style="56" min="2" max="2"/>
    <col width="46" customWidth="1" style="56" min="3" max="3"/>
    <col width="14" customWidth="1" style="56" min="4" max="4"/>
    <col width="8.710000000000001" customWidth="1" style="56" min="5" max="26"/>
  </cols>
  <sheetData>
    <row r="1" ht="36" customHeight="1" s="56">
      <c r="A1" s="62" t="inlineStr">
        <is>
          <t>ELIDAN AI  —  Business Information</t>
        </is>
      </c>
    </row>
    <row r="2" ht="21.75" customHeight="1" s="56">
      <c r="A2" s="63" t="inlineStr">
        <is>
          <t>Complete once. This information is used to personalise your dashboard and set alert thresholds.</t>
        </is>
      </c>
    </row>
    <row r="4">
      <c r="A4" s="64" t="inlineStr">
        <is>
          <t xml:space="preserve">  BUSINESS DETAILS</t>
        </is>
      </c>
    </row>
    <row r="5">
      <c r="A5" s="11" t="inlineStr">
        <is>
          <t>Business Name</t>
        </is>
      </c>
      <c r="B5" s="12" t="inlineStr">
        <is>
          <t>Acme Services LLC</t>
        </is>
      </c>
      <c r="C5" s="65" t="inlineStr">
        <is>
          <t>Your registered business name</t>
        </is>
      </c>
    </row>
    <row r="6">
      <c r="A6" s="11" t="inlineStr">
        <is>
          <t>Industry</t>
        </is>
      </c>
      <c r="B6" s="12" t="inlineStr">
        <is>
          <t>Professional Services</t>
        </is>
      </c>
      <c r="C6" s="65" t="inlineStr">
        <is>
          <t>e.g. Agency, SaaS, Retail, Construction, Consulting</t>
        </is>
      </c>
    </row>
    <row r="7">
      <c r="A7" s="11" t="inlineStr">
        <is>
          <t>Business Start Date</t>
        </is>
      </c>
      <c r="B7" s="12" t="inlineStr">
        <is>
          <t>01/01/2022</t>
        </is>
      </c>
      <c r="C7" s="65" t="inlineStr">
        <is>
          <t>MM/DD/YYYY</t>
        </is>
      </c>
    </row>
    <row r="8">
      <c r="A8" s="11" t="inlineStr">
        <is>
          <t>Number of Employees</t>
        </is>
      </c>
      <c r="B8" s="14" t="n">
        <v>8</v>
      </c>
      <c r="C8" s="65" t="inlineStr">
        <is>
          <t>Full-time equivalent</t>
        </is>
      </c>
    </row>
    <row r="9">
      <c r="A9" s="11" t="inlineStr">
        <is>
          <t>Accounting System</t>
        </is>
      </c>
      <c r="B9" s="12" t="inlineStr">
        <is>
          <t>QuickBooks Online</t>
        </is>
      </c>
      <c r="C9" s="65" t="inlineStr">
        <is>
          <t>e.g. QuickBooks, Xero, Wave, Spreadsheet only</t>
        </is>
      </c>
    </row>
    <row r="10">
      <c r="A10" s="11" t="inlineStr">
        <is>
          <t>Reporting Currency</t>
        </is>
      </c>
      <c r="B10" s="12" t="inlineStr">
        <is>
          <t>USD</t>
        </is>
      </c>
      <c r="C10" s="65" t="inlineStr">
        <is>
          <t>Currency for all monetary values</t>
        </is>
      </c>
    </row>
    <row r="12">
      <c r="A12" s="64" t="inlineStr">
        <is>
          <t xml:space="preserve">  FINANCIAL SETTINGS &amp; ALERT THRESHOLDS</t>
        </is>
      </c>
    </row>
    <row r="13">
      <c r="A13" s="11" t="inlineStr">
        <is>
          <t>Minimum Cash Reserve ($)</t>
        </is>
      </c>
      <c r="B13" s="15" t="n">
        <v>25000</v>
      </c>
      <c r="C13" s="65" t="inlineStr">
        <is>
          <t>Alert triggers if cash drops below this amount</t>
        </is>
      </c>
    </row>
    <row r="14">
      <c r="A14" s="11" t="inlineStr">
        <is>
          <t>Runway Warning Threshold (months)</t>
        </is>
      </c>
      <c r="B14" s="16" t="n">
        <v>6</v>
      </c>
      <c r="C14" s="65" t="inlineStr">
        <is>
          <t>Amber alert when runway drops below this</t>
        </is>
      </c>
    </row>
    <row r="15">
      <c r="A15" s="11" t="inlineStr">
        <is>
          <t>Runway Danger Threshold (months)</t>
        </is>
      </c>
      <c r="B15" s="16" t="n">
        <v>3</v>
      </c>
      <c r="C15" s="65" t="inlineStr">
        <is>
          <t>Red alert when runway drops below this</t>
        </is>
      </c>
    </row>
    <row r="16">
      <c r="A16" s="11" t="inlineStr">
        <is>
          <t>Monthly Revenue Target ($)</t>
        </is>
      </c>
      <c r="B16" s="15" t="n">
        <v>35000</v>
      </c>
      <c r="C16" s="65" t="inlineStr">
        <is>
          <t>Your MRR goal for the current period</t>
        </is>
      </c>
    </row>
    <row r="17">
      <c r="A17" s="11" t="inlineStr">
        <is>
          <t>Burn Rate Warning (% increase MoM)</t>
        </is>
      </c>
      <c r="B17" s="17" t="n">
        <v>0.1</v>
      </c>
      <c r="C17" s="65" t="inlineStr">
        <is>
          <t>Alert if burn increases more than this % month-on-month</t>
        </is>
      </c>
    </row>
    <row r="18">
      <c r="A18" s="11" t="inlineStr">
        <is>
          <t>Invoice Overdue Days</t>
        </is>
      </c>
      <c r="B18" s="16" t="n">
        <v>30</v>
      </c>
      <c r="C18" s="65" t="inlineStr">
        <is>
          <t>Flag AR invoices overdue by more than this many days</t>
        </is>
      </c>
    </row>
    <row r="21" ht="15.75" customHeight="1" s="56"/>
    <row r="22" ht="15.75" customHeight="1" s="56"/>
    <row r="23" ht="15.75" customHeight="1" s="56"/>
    <row r="24" ht="15.75" customHeight="1" s="56"/>
    <row r="25" ht="15.75" customHeight="1" s="56"/>
    <row r="26" ht="15.75" customHeight="1" s="56"/>
    <row r="27" ht="15.75" customHeight="1" s="56"/>
    <row r="28" ht="15.75" customHeight="1" s="56"/>
    <row r="29" ht="15.75" customHeight="1" s="56"/>
    <row r="30" ht="15.75" customHeight="1" s="56"/>
    <row r="31" ht="15.75" customHeight="1" s="56"/>
    <row r="32" ht="15.75" customHeight="1" s="56"/>
    <row r="33" ht="15.75" customHeight="1" s="56"/>
    <row r="34" ht="15.75" customHeight="1" s="56"/>
    <row r="35" ht="15.75" customHeight="1" s="56"/>
    <row r="36" ht="15.75" customHeight="1" s="56"/>
    <row r="37" ht="15.75" customHeight="1" s="56"/>
    <row r="38" ht="15.75" customHeight="1" s="56"/>
    <row r="39" ht="15.75" customHeight="1" s="56"/>
    <row r="40" ht="15.75" customHeight="1" s="56"/>
    <row r="41" ht="15.75" customHeight="1" s="56"/>
    <row r="42" ht="15.75" customHeight="1" s="56"/>
    <row r="43" ht="15.75" customHeight="1" s="56"/>
    <row r="44" ht="15.75" customHeight="1" s="56"/>
    <row r="45" ht="15.75" customHeight="1" s="56"/>
    <row r="46" ht="15.75" customHeight="1" s="56"/>
    <row r="47" ht="15.75" customHeight="1" s="56"/>
    <row r="48" ht="15.75" customHeight="1" s="56"/>
    <row r="49" ht="15.75" customHeight="1" s="56"/>
    <row r="50" ht="15.75" customHeight="1" s="56"/>
    <row r="51" ht="15.75" customHeight="1" s="56"/>
    <row r="52" ht="15.75" customHeight="1" s="56"/>
    <row r="53" ht="15.75" customHeight="1" s="56"/>
    <row r="54" ht="15.75" customHeight="1" s="56"/>
    <row r="55" ht="15.75" customHeight="1" s="56"/>
    <row r="56" ht="15.75" customHeight="1" s="56"/>
    <row r="57" ht="15.75" customHeight="1" s="56"/>
    <row r="58" ht="15.75" customHeight="1" s="56"/>
    <row r="59" ht="15.75" customHeight="1" s="56"/>
    <row r="60" ht="15.75" customHeight="1" s="56"/>
    <row r="61" ht="15.75" customHeight="1" s="56"/>
    <row r="62" ht="15.75" customHeight="1" s="56"/>
    <row r="63" ht="15.75" customHeight="1" s="56"/>
    <row r="64" ht="15.75" customHeight="1" s="56"/>
    <row r="65" ht="15.75" customHeight="1" s="56"/>
    <row r="66" ht="15.75" customHeight="1" s="56"/>
    <row r="67" ht="15.75" customHeight="1" s="56"/>
    <row r="68" ht="15.75" customHeight="1" s="56"/>
    <row r="69" ht="15.75" customHeight="1" s="56"/>
    <row r="70" ht="15.75" customHeight="1" s="56"/>
    <row r="71" ht="15.75" customHeight="1" s="56"/>
    <row r="72" ht="15.75" customHeight="1" s="56"/>
    <row r="73" ht="15.75" customHeight="1" s="56"/>
    <row r="74" ht="15.75" customHeight="1" s="56"/>
    <row r="75" ht="15.75" customHeight="1" s="56"/>
    <row r="76" ht="15.75" customHeight="1" s="56"/>
    <row r="77" ht="15.75" customHeight="1" s="56"/>
    <row r="78" ht="15.75" customHeight="1" s="56"/>
    <row r="79" ht="15.75" customHeight="1" s="56"/>
    <row r="80" ht="15.75" customHeight="1" s="56"/>
    <row r="81" ht="15.75" customHeight="1" s="56"/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mergeCells count="16">
    <mergeCell ref="A1:D1"/>
    <mergeCell ref="C6:D6"/>
    <mergeCell ref="C10:D10"/>
    <mergeCell ref="C7:D7"/>
    <mergeCell ref="C16:D16"/>
    <mergeCell ref="C15:D15"/>
    <mergeCell ref="A12:D12"/>
    <mergeCell ref="A4:D4"/>
    <mergeCell ref="C5:D5"/>
    <mergeCell ref="C14:D14"/>
    <mergeCell ref="C13:D13"/>
    <mergeCell ref="A2:D2"/>
    <mergeCell ref="C9:D9"/>
    <mergeCell ref="C17:D17"/>
    <mergeCell ref="C18:D18"/>
    <mergeCell ref="C8:D8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2CA6A4"/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5.14" customWidth="1" style="56" min="1" max="1"/>
    <col width="23.57" customWidth="1" style="56" min="2" max="2"/>
    <col width="18" customWidth="1" style="56" min="3" max="5"/>
    <col width="16" customWidth="1" style="56" min="6" max="6"/>
    <col width="18" customWidth="1" style="56" min="7" max="9"/>
    <col width="16" customWidth="1" style="56" min="10" max="10"/>
    <col width="28" customWidth="1" style="56" min="11" max="11"/>
    <col width="8.710000000000001" customWidth="1" style="56" min="12" max="26"/>
  </cols>
  <sheetData>
    <row r="1" ht="36" customHeight="1" s="56">
      <c r="A1" s="62" t="inlineStr">
        <is>
          <t>ELIDAN AI  —  Monthly Summary</t>
        </is>
      </c>
    </row>
    <row r="2" ht="19.5" customHeight="1" s="56">
      <c r="A2" s="63" t="inlineStr">
        <is>
          <t>Enter one row per month. Blue text = your inputs. Black text = calculated. Minimum 3 months required, 12 months recommended.</t>
        </is>
      </c>
    </row>
    <row r="4" ht="30" customHeight="1" s="56">
      <c r="A4" s="18" t="inlineStr">
        <is>
          <t>Month</t>
        </is>
      </c>
      <c r="B4" s="18" t="inlineStr">
        <is>
          <t>Opening Cash ($)</t>
        </is>
      </c>
      <c r="C4" s="18" t="inlineStr">
        <is>
          <t>Closing Cash ($)</t>
        </is>
      </c>
      <c r="D4" s="18" t="inlineStr">
        <is>
          <t>Total Revenue ($)</t>
        </is>
      </c>
      <c r="E4" s="18" t="inlineStr">
        <is>
          <t>Total Expenses ($)</t>
        </is>
      </c>
      <c r="F4" s="18" t="inlineStr">
        <is>
          <t>Payroll ($)</t>
        </is>
      </c>
      <c r="G4" s="18" t="inlineStr">
        <is>
          <t>AR Outstanding ($)</t>
        </is>
      </c>
      <c r="H4" s="18" t="inlineStr">
        <is>
          <t>AP Outstanding ($)</t>
        </is>
      </c>
      <c r="I4" s="18" t="inlineStr">
        <is>
          <t>Net Cash Flow ($)</t>
        </is>
      </c>
      <c r="J4" s="18" t="inlineStr">
        <is>
          <t>Burn Rate ($)</t>
        </is>
      </c>
      <c r="K4" s="18" t="inlineStr">
        <is>
          <t>Notes</t>
        </is>
      </c>
    </row>
    <row r="5" ht="21.75" customHeight="1" s="56">
      <c r="A5" s="19" t="inlineStr">
        <is>
          <t>01/01/2025</t>
        </is>
      </c>
      <c r="B5" s="20" t="n">
        <v>120000</v>
      </c>
      <c r="C5" s="20" t="n">
        <v>108500</v>
      </c>
      <c r="D5" s="20" t="n">
        <v>28000</v>
      </c>
      <c r="E5" s="20" t="n">
        <v>39500</v>
      </c>
      <c r="F5" s="20" t="n">
        <v>22000</v>
      </c>
      <c r="G5" s="20" t="n">
        <v>8500</v>
      </c>
      <c r="H5" s="20" t="n">
        <v>4200</v>
      </c>
      <c r="I5" s="21">
        <f>C5-B5</f>
        <v/>
      </c>
      <c r="J5" s="21">
        <f>E5</f>
        <v/>
      </c>
      <c r="K5" s="22" t="n"/>
    </row>
    <row r="6" ht="21.75" customHeight="1" s="56">
      <c r="A6" s="19" t="inlineStr">
        <is>
          <t>02/01/2025</t>
        </is>
      </c>
      <c r="B6" s="20" t="n">
        <v>108500</v>
      </c>
      <c r="C6" s="20" t="n">
        <v>97800</v>
      </c>
      <c r="D6" s="20" t="n">
        <v>29500</v>
      </c>
      <c r="E6" s="20" t="n">
        <v>40200</v>
      </c>
      <c r="F6" s="20" t="n">
        <v>22000</v>
      </c>
      <c r="G6" s="20" t="n">
        <v>9200</v>
      </c>
      <c r="H6" s="20" t="n">
        <v>4500</v>
      </c>
      <c r="I6" s="21">
        <f>C6-B6</f>
        <v/>
      </c>
      <c r="J6" s="21">
        <f>E6</f>
        <v/>
      </c>
      <c r="K6" s="22" t="n"/>
    </row>
    <row r="7" ht="21.75" customHeight="1" s="56">
      <c r="A7" s="19" t="inlineStr">
        <is>
          <t>03/01/2025</t>
        </is>
      </c>
      <c r="B7" s="20" t="n">
        <v>97800</v>
      </c>
      <c r="C7" s="20" t="n">
        <v>91200</v>
      </c>
      <c r="D7" s="20" t="n">
        <v>32000</v>
      </c>
      <c r="E7" s="20" t="n">
        <v>38600</v>
      </c>
      <c r="F7" s="20" t="n">
        <v>22000</v>
      </c>
      <c r="G7" s="20" t="n">
        <v>10100</v>
      </c>
      <c r="H7" s="20" t="n">
        <v>3800</v>
      </c>
      <c r="I7" s="21">
        <f>C7-B7</f>
        <v/>
      </c>
      <c r="J7" s="21">
        <f>E7</f>
        <v/>
      </c>
      <c r="K7" s="22" t="n"/>
    </row>
    <row r="8" ht="21.75" customHeight="1" s="56">
      <c r="A8" s="19" t="inlineStr">
        <is>
          <t>04/01/2025</t>
        </is>
      </c>
      <c r="B8" s="20" t="n">
        <v>91200</v>
      </c>
      <c r="C8" s="20" t="n">
        <v>88700</v>
      </c>
      <c r="D8" s="20" t="n">
        <v>34500</v>
      </c>
      <c r="E8" s="20" t="n">
        <v>37000</v>
      </c>
      <c r="F8" s="20" t="n">
        <v>22000</v>
      </c>
      <c r="G8" s="20" t="n">
        <v>11200</v>
      </c>
      <c r="H8" s="20" t="n">
        <v>4100</v>
      </c>
      <c r="I8" s="21">
        <f>C8-B8</f>
        <v/>
      </c>
      <c r="J8" s="21">
        <f>E8</f>
        <v/>
      </c>
      <c r="K8" s="22" t="n"/>
    </row>
    <row r="9" ht="21.75" customHeight="1" s="56">
      <c r="A9" s="19" t="inlineStr">
        <is>
          <t>05/01/2025</t>
        </is>
      </c>
      <c r="B9" s="20" t="n">
        <v>88700</v>
      </c>
      <c r="C9" s="20" t="n">
        <v>90100</v>
      </c>
      <c r="D9" s="20" t="n">
        <v>36200</v>
      </c>
      <c r="E9" s="20" t="n">
        <v>34800</v>
      </c>
      <c r="F9" s="20" t="n">
        <v>24000</v>
      </c>
      <c r="G9" s="20" t="n">
        <v>12400</v>
      </c>
      <c r="H9" s="20" t="n">
        <v>3900</v>
      </c>
      <c r="I9" s="21">
        <f>C9-B9</f>
        <v/>
      </c>
      <c r="J9" s="21">
        <f>E9</f>
        <v/>
      </c>
      <c r="K9" s="22" t="n"/>
    </row>
    <row r="10" ht="21.75" customHeight="1" s="56">
      <c r="A10" s="19" t="inlineStr">
        <is>
          <t>06/01/2025</t>
        </is>
      </c>
      <c r="B10" s="20" t="n">
        <v>90100</v>
      </c>
      <c r="C10" s="20" t="n">
        <v>95800</v>
      </c>
      <c r="D10" s="20" t="n">
        <v>38500</v>
      </c>
      <c r="E10" s="20" t="n">
        <v>32800</v>
      </c>
      <c r="F10" s="20" t="n">
        <v>24000</v>
      </c>
      <c r="G10" s="20" t="n">
        <v>13100</v>
      </c>
      <c r="H10" s="20" t="n">
        <v>3600</v>
      </c>
      <c r="I10" s="21">
        <f>C10-B10</f>
        <v/>
      </c>
      <c r="J10" s="21">
        <f>E10</f>
        <v/>
      </c>
      <c r="K10" s="22" t="n"/>
    </row>
    <row r="11" ht="21.75" customHeight="1" s="56">
      <c r="A11" s="19" t="inlineStr">
        <is>
          <t>07/01/2025</t>
        </is>
      </c>
      <c r="B11" s="20" t="n">
        <v>95800</v>
      </c>
      <c r="C11" s="20" t="n">
        <v>101200</v>
      </c>
      <c r="D11" s="20" t="n">
        <v>40100</v>
      </c>
      <c r="E11" s="20" t="n">
        <v>34700</v>
      </c>
      <c r="F11" s="20" t="n">
        <v>24000</v>
      </c>
      <c r="G11" s="20" t="n">
        <v>14200</v>
      </c>
      <c r="H11" s="20" t="n">
        <v>4200</v>
      </c>
      <c r="I11" s="21">
        <f>C11-B11</f>
        <v/>
      </c>
      <c r="J11" s="21">
        <f>E11</f>
        <v/>
      </c>
      <c r="K11" s="22" t="n"/>
    </row>
    <row r="12" ht="21.75" customHeight="1" s="56">
      <c r="A12" s="19" t="inlineStr">
        <is>
          <t>08/01/2025</t>
        </is>
      </c>
      <c r="B12" s="20" t="n">
        <v>101200</v>
      </c>
      <c r="C12" s="20" t="n">
        <v>108400</v>
      </c>
      <c r="D12" s="20" t="n">
        <v>42300</v>
      </c>
      <c r="E12" s="20" t="n">
        <v>35100</v>
      </c>
      <c r="F12" s="20" t="n">
        <v>24000</v>
      </c>
      <c r="G12" s="20" t="n">
        <v>15800</v>
      </c>
      <c r="H12" s="20" t="n">
        <v>4400</v>
      </c>
      <c r="I12" s="21">
        <f>C12-B12</f>
        <v/>
      </c>
      <c r="J12" s="21">
        <f>E12</f>
        <v/>
      </c>
      <c r="K12" s="22" t="n"/>
    </row>
    <row r="13" ht="21.75" customHeight="1" s="56">
      <c r="A13" s="19" t="inlineStr">
        <is>
          <t>09/01/2025</t>
        </is>
      </c>
      <c r="B13" s="20" t="n">
        <v>108400</v>
      </c>
      <c r="C13" s="20" t="n">
        <v>116900</v>
      </c>
      <c r="D13" s="20" t="n">
        <v>44800</v>
      </c>
      <c r="E13" s="20" t="n">
        <v>36300</v>
      </c>
      <c r="F13" s="20" t="n">
        <v>26000</v>
      </c>
      <c r="G13" s="20" t="n">
        <v>16200</v>
      </c>
      <c r="H13" s="20" t="n">
        <v>4800</v>
      </c>
      <c r="I13" s="21">
        <f>C13-B13</f>
        <v/>
      </c>
      <c r="J13" s="21">
        <f>E13</f>
        <v/>
      </c>
      <c r="K13" s="22" t="n"/>
    </row>
    <row r="14" ht="21.75" customHeight="1" s="56">
      <c r="A14" s="19" t="inlineStr">
        <is>
          <t>10/01/2025</t>
        </is>
      </c>
      <c r="B14" s="20" t="n">
        <v>116900</v>
      </c>
      <c r="C14" s="20" t="n">
        <v>125300</v>
      </c>
      <c r="D14" s="20" t="n">
        <v>46500</v>
      </c>
      <c r="E14" s="20" t="n">
        <v>38100</v>
      </c>
      <c r="F14" s="20" t="n">
        <v>26000</v>
      </c>
      <c r="G14" s="20" t="n">
        <v>17100</v>
      </c>
      <c r="H14" s="20" t="n">
        <v>5100</v>
      </c>
      <c r="I14" s="21">
        <f>C14-B14</f>
        <v/>
      </c>
      <c r="J14" s="21">
        <f>E14</f>
        <v/>
      </c>
      <c r="K14" s="22" t="n"/>
    </row>
    <row r="15" ht="21.75" customHeight="1" s="56">
      <c r="A15" s="19" t="inlineStr">
        <is>
          <t>11/01/2025</t>
        </is>
      </c>
      <c r="B15" s="20" t="n">
        <v>125300</v>
      </c>
      <c r="C15" s="20" t="n">
        <v>131800</v>
      </c>
      <c r="D15" s="20" t="n">
        <v>48200</v>
      </c>
      <c r="E15" s="20" t="n">
        <v>41700</v>
      </c>
      <c r="F15" s="20" t="n">
        <v>26000</v>
      </c>
      <c r="G15" s="20" t="n">
        <v>18400</v>
      </c>
      <c r="H15" s="20" t="n">
        <v>5400</v>
      </c>
      <c r="I15" s="21">
        <f>C15-B15</f>
        <v/>
      </c>
      <c r="J15" s="21">
        <f>E15</f>
        <v/>
      </c>
      <c r="K15" s="22" t="n"/>
    </row>
    <row r="16" ht="21.75" customHeight="1" s="56">
      <c r="A16" s="19" t="inlineStr">
        <is>
          <t>12/01/2025</t>
        </is>
      </c>
      <c r="B16" s="20" t="n">
        <v>131800</v>
      </c>
      <c r="C16" s="20" t="n">
        <v>138200</v>
      </c>
      <c r="D16" s="20" t="n">
        <v>51000</v>
      </c>
      <c r="E16" s="20" t="n">
        <v>44600</v>
      </c>
      <c r="F16" s="20" t="n">
        <v>28000</v>
      </c>
      <c r="G16" s="20" t="n">
        <v>19800</v>
      </c>
      <c r="H16" s="20" t="n">
        <v>5800</v>
      </c>
      <c r="I16" s="21">
        <f>C16-B16</f>
        <v/>
      </c>
      <c r="J16" s="21">
        <f>E16</f>
        <v/>
      </c>
      <c r="K16" s="22" t="n"/>
    </row>
    <row r="18" ht="24" customHeight="1" s="56">
      <c r="A18" s="23" t="inlineStr">
        <is>
          <t>12-MONTH TOTALS / AVERAGES</t>
        </is>
      </c>
      <c r="B18" s="24">
        <f>B16</f>
        <v/>
      </c>
      <c r="C18" s="24">
        <f>C16</f>
        <v/>
      </c>
      <c r="D18" s="24">
        <f>SUM(D5:D16)</f>
        <v/>
      </c>
      <c r="E18" s="24">
        <f>SUM(E5:E16)</f>
        <v/>
      </c>
      <c r="F18" s="24">
        <f>SUM(F5:F16)</f>
        <v/>
      </c>
      <c r="G18" s="24">
        <f>C16</f>
        <v/>
      </c>
      <c r="H18" s="24">
        <f>H16</f>
        <v/>
      </c>
      <c r="I18" s="24">
        <f>SUM(I5:I16)</f>
        <v/>
      </c>
      <c r="J18" s="24">
        <f>AVERAGE(J5:J16)</f>
        <v/>
      </c>
      <c r="K18" s="25" t="n"/>
    </row>
    <row r="21" ht="15.75" customHeight="1" s="56"/>
    <row r="22" ht="21.75" customHeight="1" s="56"/>
    <row r="23" ht="21.75" customHeight="1" s="56"/>
    <row r="24" ht="21.75" customHeight="1" s="56"/>
    <row r="25" ht="21.75" customHeight="1" s="56"/>
    <row r="26" ht="21.75" customHeight="1" s="56"/>
    <row r="27" ht="21.75" customHeight="1" s="56"/>
    <row r="28" ht="15.75" customHeight="1" s="56"/>
    <row r="29" ht="15.75" customHeight="1" s="56"/>
    <row r="30" ht="15.75" customHeight="1" s="56"/>
    <row r="31" ht="15.75" customHeight="1" s="56"/>
    <row r="32" ht="15.75" customHeight="1" s="56"/>
    <row r="33" ht="15.75" customHeight="1" s="56"/>
    <row r="34" ht="15.75" customHeight="1" s="56"/>
    <row r="35" ht="15.75" customHeight="1" s="56"/>
    <row r="36" ht="15.75" customHeight="1" s="56"/>
    <row r="37" ht="15.75" customHeight="1" s="56"/>
    <row r="38" ht="15.75" customHeight="1" s="56"/>
    <row r="39" ht="15.75" customHeight="1" s="56"/>
    <row r="40" ht="15.75" customHeight="1" s="56"/>
    <row r="41" ht="15.75" customHeight="1" s="56"/>
    <row r="42" ht="15.75" customHeight="1" s="56"/>
    <row r="43" ht="15.75" customHeight="1" s="56"/>
    <row r="44" ht="15.75" customHeight="1" s="56"/>
    <row r="45" ht="15.75" customHeight="1" s="56"/>
    <row r="46" ht="15.75" customHeight="1" s="56"/>
    <row r="47" ht="15.75" customHeight="1" s="56"/>
    <row r="48" ht="15.75" customHeight="1" s="56"/>
    <row r="49" ht="15.75" customHeight="1" s="56"/>
    <row r="50" ht="15.75" customHeight="1" s="56"/>
    <row r="51" ht="15.75" customHeight="1" s="56"/>
    <row r="52" ht="15.75" customHeight="1" s="56"/>
    <row r="53" ht="15.75" customHeight="1" s="56"/>
    <row r="54" ht="15.75" customHeight="1" s="56"/>
    <row r="55" ht="15.75" customHeight="1" s="56"/>
    <row r="56" ht="15.75" customHeight="1" s="56"/>
    <row r="57" ht="15.75" customHeight="1" s="56"/>
    <row r="58" ht="15.75" customHeight="1" s="56"/>
    <row r="59" ht="15.75" customHeight="1" s="56"/>
    <row r="60" ht="15.75" customHeight="1" s="56"/>
    <row r="61" ht="15.75" customHeight="1" s="56"/>
    <row r="62" ht="15.75" customHeight="1" s="56"/>
    <row r="63" ht="15.75" customHeight="1" s="56"/>
    <row r="64" ht="15.75" customHeight="1" s="56"/>
    <row r="65" ht="15.75" customHeight="1" s="56"/>
    <row r="66" ht="15.75" customHeight="1" s="56"/>
    <row r="67" ht="15.75" customHeight="1" s="56"/>
    <row r="68" ht="15.75" customHeight="1" s="56"/>
    <row r="69" ht="15.75" customHeight="1" s="56"/>
    <row r="70" ht="15.75" customHeight="1" s="56"/>
    <row r="71" ht="15.75" customHeight="1" s="56"/>
    <row r="72" ht="15.75" customHeight="1" s="56"/>
    <row r="73" ht="15.75" customHeight="1" s="56"/>
    <row r="74" ht="15.75" customHeight="1" s="56"/>
    <row r="75" ht="15.75" customHeight="1" s="56"/>
    <row r="76" ht="15.75" customHeight="1" s="56"/>
    <row r="77" ht="15.75" customHeight="1" s="56"/>
    <row r="78" ht="15.75" customHeight="1" s="56"/>
    <row r="79" ht="15.75" customHeight="1" s="56"/>
    <row r="80" ht="15.75" customHeight="1" s="56"/>
    <row r="81" ht="15.75" customHeight="1" s="56"/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mergeCells count="9">
    <mergeCell ref="A21:E21"/>
    <mergeCell ref="C27:E27"/>
    <mergeCell ref="C23:E23"/>
    <mergeCell ref="C22:E22"/>
    <mergeCell ref="A2:K2"/>
    <mergeCell ref="C26:E26"/>
    <mergeCell ref="A1:K1"/>
    <mergeCell ref="C25:E25"/>
    <mergeCell ref="C24:E24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D4AF7F"/>
    <outlinePr summaryBelow="1" summaryRight="1"/>
    <pageSetUpPr/>
  </sheetPr>
  <dimension ref="A1:D1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" customWidth="1" style="56" min="1" max="1"/>
    <col width="28" customWidth="1" style="56" min="2" max="2"/>
    <col width="16" customWidth="1" style="56" min="3" max="3"/>
    <col width="35" customWidth="1" style="56" min="4" max="4"/>
    <col width="18" customWidth="1" style="56" min="5" max="5"/>
    <col width="30" customWidth="1" style="56" min="6" max="6"/>
    <col width="8.710000000000001" customWidth="1" style="56" min="7" max="26"/>
  </cols>
  <sheetData>
    <row r="1" ht="36" customHeight="1" s="56">
      <c r="A1" s="62" t="inlineStr">
        <is>
          <t>ELIDAN AI  —  Expense Categories</t>
        </is>
      </c>
    </row>
    <row r="2">
      <c r="A2" s="63" t="inlineStr">
        <is>
          <t>Break down each month's total expenses by category. Enter Month, Category, and Amount only. Elidan calculates percentages and trends automatically.</t>
        </is>
      </c>
    </row>
    <row r="3"/>
    <row r="4" ht="30" customHeight="1" s="56">
      <c r="A4" s="66" t="inlineStr">
        <is>
          <t>Month</t>
        </is>
      </c>
      <c r="B4" s="66" t="inlineStr">
        <is>
          <t>Category</t>
        </is>
      </c>
      <c r="C4" s="66" t="inlineStr">
        <is>
          <t>Amount ($)</t>
        </is>
      </c>
      <c r="D4" s="66" t="inlineStr">
        <is>
          <t>Notes</t>
        </is>
      </c>
    </row>
    <row r="5">
      <c r="A5" s="67" t="inlineStr">
        <is>
          <t>10/01/2025</t>
        </is>
      </c>
      <c r="B5" t="inlineStr">
        <is>
          <t>Payroll &amp; Salaries</t>
        </is>
      </c>
      <c r="C5" t="n">
        <v>20000</v>
      </c>
    </row>
    <row r="6" ht="19.5" customHeight="1" s="56">
      <c r="A6" s="33" t="inlineStr">
        <is>
          <t>10/01/2025</t>
        </is>
      </c>
      <c r="B6" s="34" t="inlineStr">
        <is>
          <t>Contractor / Freelancer</t>
        </is>
      </c>
      <c r="C6" s="20" t="n">
        <v>4500</v>
      </c>
      <c r="D6" s="35" t="n"/>
    </row>
    <row r="7" ht="19.5" customHeight="1" s="56">
      <c r="A7" s="33" t="inlineStr">
        <is>
          <t>10/01/2025</t>
        </is>
      </c>
      <c r="B7" s="34" t="inlineStr">
        <is>
          <t>Marketing &amp; Advertising</t>
        </is>
      </c>
      <c r="C7" s="20" t="n">
        <v>5200</v>
      </c>
      <c r="D7" s="35" t="n"/>
    </row>
    <row r="8" ht="19.5" customHeight="1" s="56">
      <c r="A8" s="33" t="inlineStr">
        <is>
          <t>10/01/2025</t>
        </is>
      </c>
      <c r="B8" s="34" t="inlineStr">
        <is>
          <t>Software &amp; Subscriptions</t>
        </is>
      </c>
      <c r="C8" s="20" t="n">
        <v>1800</v>
      </c>
      <c r="D8" s="35" t="n"/>
    </row>
    <row r="9" ht="19.5" customHeight="1" s="56">
      <c r="A9" s="33" t="inlineStr">
        <is>
          <t>10/01/2025</t>
        </is>
      </c>
      <c r="B9" s="34" t="inlineStr">
        <is>
          <t>Rent &amp; Facilities</t>
        </is>
      </c>
      <c r="C9" s="20" t="n">
        <v>3200</v>
      </c>
      <c r="D9" s="35" t="n"/>
    </row>
    <row r="10" ht="19.5" customHeight="1" s="56">
      <c r="A10" s="33" t="inlineStr">
        <is>
          <t>10/01/2025</t>
        </is>
      </c>
      <c r="B10" s="34" t="inlineStr">
        <is>
          <t>Professional Services</t>
        </is>
      </c>
      <c r="C10" s="20" t="n">
        <v>1200</v>
      </c>
      <c r="D10" s="35" t="n"/>
    </row>
    <row r="11" ht="19.5" customHeight="1" s="56">
      <c r="A11" s="33" t="inlineStr">
        <is>
          <t>10/01/2025</t>
        </is>
      </c>
      <c r="B11" s="34" t="inlineStr">
        <is>
          <t>Insurance</t>
        </is>
      </c>
      <c r="C11" s="20" t="n">
        <v>800</v>
      </c>
      <c r="D11" s="35" t="n"/>
    </row>
    <row r="12" ht="19.5" customHeight="1" s="56">
      <c r="A12" s="33" t="inlineStr">
        <is>
          <t>10/01/2025</t>
        </is>
      </c>
      <c r="B12" s="34" t="inlineStr">
        <is>
          <t>Travel &amp; Entertainment</t>
        </is>
      </c>
      <c r="C12" s="20" t="n">
        <v>600</v>
      </c>
      <c r="D12" s="35" t="n"/>
    </row>
    <row r="13" ht="19.5" customHeight="1" s="56">
      <c r="A13" s="33" t="inlineStr">
        <is>
          <t>10/01/2025</t>
        </is>
      </c>
      <c r="B13" s="34" t="inlineStr">
        <is>
          <t>Office &amp; Supplies</t>
        </is>
      </c>
      <c r="C13" s="20" t="n">
        <v>300</v>
      </c>
      <c r="D13" s="35" t="n"/>
    </row>
    <row r="14" ht="19.5" customHeight="1" s="56">
      <c r="A14" s="33" t="inlineStr">
        <is>
          <t>10/01/2025</t>
        </is>
      </c>
      <c r="B14" s="34" t="inlineStr">
        <is>
          <t>Other</t>
        </is>
      </c>
      <c r="C14" s="20" t="n">
        <v>500</v>
      </c>
      <c r="D14" s="35" t="n"/>
    </row>
    <row r="15" ht="19.5" customHeight="1" s="56">
      <c r="A15" s="33" t="inlineStr">
        <is>
          <t>11/01/2025</t>
        </is>
      </c>
      <c r="B15" s="34" t="inlineStr">
        <is>
          <t>Payroll &amp; Salaries</t>
        </is>
      </c>
      <c r="C15" s="20" t="n">
        <v>20000</v>
      </c>
      <c r="D15" s="35" t="n"/>
    </row>
    <row r="16">
      <c r="A16" t="inlineStr">
        <is>
          <t>11/01/2025</t>
        </is>
      </c>
      <c r="B16" t="inlineStr">
        <is>
          <t>Contractor / Freelancer</t>
        </is>
      </c>
      <c r="C16" t="n">
        <v>5100</v>
      </c>
    </row>
    <row r="17">
      <c r="A17" s="67" t="inlineStr">
        <is>
          <t>11/01/2025</t>
        </is>
      </c>
      <c r="B17" t="inlineStr">
        <is>
          <t>Marketing &amp; Advertising</t>
        </is>
      </c>
      <c r="C17" t="n">
        <v>6800</v>
      </c>
    </row>
    <row r="18" ht="19.5" customHeight="1" s="56">
      <c r="A18" s="33" t="inlineStr">
        <is>
          <t>11/01/2025</t>
        </is>
      </c>
      <c r="B18" s="34" t="inlineStr">
        <is>
          <t>Software &amp; Subscriptions</t>
        </is>
      </c>
      <c r="C18" s="20" t="n">
        <v>1900</v>
      </c>
      <c r="D18" s="35" t="n"/>
    </row>
    <row r="19" ht="19.5" customHeight="1" s="56">
      <c r="A19" s="33" t="inlineStr">
        <is>
          <t>11/01/2025</t>
        </is>
      </c>
      <c r="B19" s="34" t="inlineStr">
        <is>
          <t>Rent &amp; Facilities</t>
        </is>
      </c>
      <c r="C19" s="20" t="n">
        <v>3200</v>
      </c>
      <c r="D19" s="35" t="n"/>
    </row>
    <row r="20" ht="19.5" customHeight="1" s="56">
      <c r="A20" s="33" t="inlineStr">
        <is>
          <t>11/01/2025</t>
        </is>
      </c>
      <c r="B20" s="34" t="inlineStr">
        <is>
          <t>Professional Services</t>
        </is>
      </c>
      <c r="C20" s="20" t="n">
        <v>1400</v>
      </c>
      <c r="D20" s="35" t="n"/>
    </row>
    <row r="21" ht="19.5" customHeight="1" s="56">
      <c r="A21" s="33" t="inlineStr">
        <is>
          <t>11/01/2025</t>
        </is>
      </c>
      <c r="B21" s="34" t="inlineStr">
        <is>
          <t>Insurance</t>
        </is>
      </c>
      <c r="C21" s="20" t="n">
        <v>800</v>
      </c>
      <c r="D21" s="35" t="n"/>
    </row>
    <row r="22" ht="19.5" customHeight="1" s="56">
      <c r="A22" s="33" t="inlineStr">
        <is>
          <t>11/01/2025</t>
        </is>
      </c>
      <c r="B22" s="34" t="inlineStr">
        <is>
          <t>Travel &amp; Entertainment</t>
        </is>
      </c>
      <c r="C22" s="20" t="n">
        <v>1200</v>
      </c>
      <c r="D22" s="35" t="n"/>
    </row>
    <row r="23" ht="19.5" customHeight="1" s="56">
      <c r="A23" s="33" t="inlineStr">
        <is>
          <t>11/01/2025</t>
        </is>
      </c>
      <c r="B23" s="34" t="inlineStr">
        <is>
          <t>Office &amp; Supplies</t>
        </is>
      </c>
      <c r="C23" s="20" t="n">
        <v>500</v>
      </c>
      <c r="D23" s="35" t="n"/>
    </row>
    <row r="24" ht="19.5" customHeight="1" s="56">
      <c r="A24" s="33" t="inlineStr">
        <is>
          <t>11/01/2025</t>
        </is>
      </c>
      <c r="B24" s="34" t="inlineStr">
        <is>
          <t>Other</t>
        </is>
      </c>
      <c r="C24" s="20" t="n">
        <v>800</v>
      </c>
      <c r="D24" s="35" t="n"/>
    </row>
    <row r="25" ht="19.5" customHeight="1" s="56">
      <c r="A25" s="33" t="inlineStr">
        <is>
          <t>12/01/2025</t>
        </is>
      </c>
      <c r="B25" s="34" t="inlineStr">
        <is>
          <t>Payroll &amp; Salaries</t>
        </is>
      </c>
      <c r="C25" s="20" t="n">
        <v>22000</v>
      </c>
      <c r="D25" s="35" t="n"/>
    </row>
    <row r="26" ht="19.5" customHeight="1" s="56">
      <c r="A26" s="33" t="inlineStr">
        <is>
          <t>12/01/2025</t>
        </is>
      </c>
      <c r="B26" s="34" t="inlineStr">
        <is>
          <t>Contractor / Freelancer</t>
        </is>
      </c>
      <c r="C26" s="20" t="n">
        <v>5500</v>
      </c>
      <c r="D26" s="35" t="n"/>
    </row>
    <row r="27" ht="19.5" customHeight="1" s="56">
      <c r="A27" s="33" t="inlineStr">
        <is>
          <t>12/01/2025</t>
        </is>
      </c>
      <c r="B27" s="34" t="inlineStr">
        <is>
          <t>Marketing &amp; Advertising</t>
        </is>
      </c>
      <c r="C27" s="20" t="n">
        <v>7200</v>
      </c>
      <c r="D27" s="35" t="n"/>
    </row>
    <row r="28" ht="15.75" customHeight="1" s="56">
      <c r="A28" t="inlineStr">
        <is>
          <t>12/01/2025</t>
        </is>
      </c>
      <c r="B28" t="inlineStr">
        <is>
          <t>Software &amp; Subscriptions</t>
        </is>
      </c>
      <c r="C28" t="n">
        <v>2100</v>
      </c>
    </row>
    <row r="29" ht="15.75" customHeight="1" s="56">
      <c r="A29" s="67" t="inlineStr">
        <is>
          <t>12/01/2025</t>
        </is>
      </c>
      <c r="B29" t="inlineStr">
        <is>
          <t>Rent &amp; Facilities</t>
        </is>
      </c>
      <c r="C29" t="n">
        <v>3200</v>
      </c>
    </row>
    <row r="30" ht="19.5" customHeight="1" s="56">
      <c r="A30" s="33" t="inlineStr">
        <is>
          <t>12/01/2025</t>
        </is>
      </c>
      <c r="B30" s="34" t="inlineStr">
        <is>
          <t>Professional Services</t>
        </is>
      </c>
      <c r="C30" s="20" t="n">
        <v>1800</v>
      </c>
      <c r="D30" s="35" t="n"/>
    </row>
    <row r="31" ht="19.5" customHeight="1" s="56">
      <c r="A31" s="33" t="inlineStr">
        <is>
          <t>12/01/2025</t>
        </is>
      </c>
      <c r="B31" s="34" t="inlineStr">
        <is>
          <t>Insurance</t>
        </is>
      </c>
      <c r="C31" s="20" t="n">
        <v>800</v>
      </c>
      <c r="D31" s="35" t="n"/>
    </row>
    <row r="32" ht="19.5" customHeight="1" s="56">
      <c r="A32" s="33" t="inlineStr">
        <is>
          <t>12/01/2025</t>
        </is>
      </c>
      <c r="B32" s="34" t="inlineStr">
        <is>
          <t>Travel &amp; Entertainment</t>
        </is>
      </c>
      <c r="C32" s="20" t="n">
        <v>900</v>
      </c>
      <c r="D32" s="35" t="n"/>
    </row>
    <row r="33" ht="19.5" customHeight="1" s="56">
      <c r="A33" s="33" t="inlineStr">
        <is>
          <t>12/01/2025</t>
        </is>
      </c>
      <c r="B33" s="34" t="inlineStr">
        <is>
          <t>Office &amp; Supplies</t>
        </is>
      </c>
      <c r="C33" s="20" t="n">
        <v>400</v>
      </c>
      <c r="D33" s="35" t="n"/>
    </row>
    <row r="34" ht="19.5" customHeight="1" s="56">
      <c r="A34" s="33" t="inlineStr">
        <is>
          <t>12/01/2025</t>
        </is>
      </c>
      <c r="B34" s="34" t="inlineStr">
        <is>
          <t>Other</t>
        </is>
      </c>
      <c r="C34" s="20" t="n">
        <v>700</v>
      </c>
      <c r="D34" s="35" t="n"/>
    </row>
    <row r="35" ht="19.5" customHeight="1" s="56">
      <c r="A35" s="33" t="n"/>
      <c r="B35" s="34" t="n"/>
      <c r="C35" s="20" t="n"/>
      <c r="D35" s="35" t="n"/>
    </row>
    <row r="36" ht="19.5" customHeight="1" s="56">
      <c r="A36" s="33" t="n"/>
      <c r="B36" s="34" t="n"/>
      <c r="C36" s="20" t="n"/>
      <c r="D36" s="35" t="n"/>
    </row>
    <row r="37" ht="19.5" customHeight="1" s="56">
      <c r="A37" s="33" t="n"/>
      <c r="B37" s="34" t="n"/>
      <c r="C37" s="20" t="n"/>
      <c r="D37" s="35" t="n"/>
    </row>
    <row r="38" ht="19.5" customHeight="1" s="56">
      <c r="A38" s="33" t="n"/>
      <c r="B38" s="34" t="n"/>
      <c r="C38" s="20" t="n"/>
      <c r="D38" s="35" t="n"/>
    </row>
    <row r="39" ht="19.5" customHeight="1" s="56">
      <c r="A39" s="33" t="n"/>
      <c r="B39" s="34" t="n"/>
      <c r="C39" s="20" t="n"/>
      <c r="D39" s="35" t="n"/>
    </row>
    <row r="40" ht="15.75" customHeight="1" s="56"/>
    <row r="41" ht="15.75" customHeight="1" s="56"/>
    <row r="42" ht="15.75" customHeight="1" s="56"/>
    <row r="43" ht="15.75" customHeight="1" s="56"/>
    <row r="44" ht="15.75" customHeight="1" s="56"/>
    <row r="45" ht="15.75" customHeight="1" s="56"/>
    <row r="46" ht="15.75" customHeight="1" s="56"/>
    <row r="47" ht="15.75" customHeight="1" s="56"/>
    <row r="48" ht="15.75" customHeight="1" s="56"/>
    <row r="49" ht="15.75" customHeight="1" s="56"/>
    <row r="50" ht="15.75" customHeight="1" s="56"/>
    <row r="51" ht="15.75" customHeight="1" s="56"/>
    <row r="52" ht="15.75" customHeight="1" s="56"/>
    <row r="53" ht="15.75" customHeight="1" s="56"/>
    <row r="54" ht="15.75" customHeight="1" s="56"/>
    <row r="55" ht="15.75" customHeight="1" s="56"/>
    <row r="56" ht="15.75" customHeight="1" s="56"/>
    <row r="57" ht="15.75" customHeight="1" s="56"/>
    <row r="58" ht="15.75" customHeight="1" s="56"/>
    <row r="59" ht="15.75" customHeight="1" s="56"/>
    <row r="60" ht="15.75" customHeight="1" s="56"/>
    <row r="61" ht="15.75" customHeight="1" s="56"/>
    <row r="62" ht="15.75" customHeight="1" s="56"/>
    <row r="63" ht="15.75" customHeight="1" s="56"/>
    <row r="64" ht="15.75" customHeight="1" s="56"/>
    <row r="65" ht="15.75" customHeight="1" s="56"/>
    <row r="66" ht="15.75" customHeight="1" s="56"/>
    <row r="67" ht="15.75" customHeight="1" s="56"/>
    <row r="68" ht="15.75" customHeight="1" s="56"/>
    <row r="69" ht="15.75" customHeight="1" s="56"/>
    <row r="70" ht="15.75" customHeight="1" s="56"/>
    <row r="71" ht="15.75" customHeight="1" s="56"/>
    <row r="72" ht="15.75" customHeight="1" s="56"/>
    <row r="73" ht="15.75" customHeight="1" s="56"/>
    <row r="74" ht="15.75" customHeight="1" s="56"/>
    <row r="75" ht="15.75" customHeight="1" s="56"/>
    <row r="76" ht="15.75" customHeight="1" s="56"/>
    <row r="77" ht="15.75" customHeight="1" s="56"/>
    <row r="78" ht="15.75" customHeight="1" s="56"/>
    <row r="79" ht="15.75" customHeight="1" s="56"/>
    <row r="80" ht="15.75" customHeight="1" s="56"/>
    <row r="81" ht="15.75" customHeight="1" s="56"/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tabColor rgb="FFD4AF7F"/>
    <outlinePr summaryBelow="1" summaryRight="1"/>
    <pageSetUpPr/>
  </sheetPr>
  <dimension ref="A1:H4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4" customWidth="1" style="56" min="1" max="1"/>
    <col width="18" customWidth="1" style="56" min="2" max="5"/>
    <col width="16" customWidth="1" style="56" min="6" max="6"/>
    <col width="18" customWidth="1" style="56" min="7" max="8"/>
    <col width="8.710000000000001" customWidth="1" style="56" min="9" max="26"/>
  </cols>
  <sheetData>
    <row r="1" ht="36" customHeight="1" s="56">
      <c r="A1" s="62" t="inlineStr">
        <is>
          <t>ELIDAN AI  —  Sample Data</t>
        </is>
      </c>
    </row>
    <row r="2">
      <c r="A2" s="63" t="inlineStr">
        <is>
          <t>Reference scenarios showing different business financial states. Do not import this sheet — use Monthly Summary for your own data.</t>
        </is>
      </c>
    </row>
    <row r="4" ht="27.75" customHeight="1" s="56">
      <c r="A4" s="68" t="inlineStr">
        <is>
          <t>SCENARIO A — Healthy &amp; Growing</t>
        </is>
      </c>
    </row>
    <row r="5" ht="19.5" customHeight="1" s="56">
      <c r="A5" s="69" t="inlineStr">
        <is>
          <t>Growing SMB, 14+ months runway, revenue exceeding burn. All green indicators.</t>
        </is>
      </c>
    </row>
    <row r="6" ht="24" customHeight="1" s="56">
      <c r="A6" s="18" t="inlineStr">
        <is>
          <t>Month</t>
        </is>
      </c>
      <c r="B6" s="18" t="inlineStr">
        <is>
          <t>Opening Cash ($)</t>
        </is>
      </c>
      <c r="C6" s="18" t="inlineStr">
        <is>
          <t>Closing Cash ($)</t>
        </is>
      </c>
      <c r="D6" s="18" t="inlineStr">
        <is>
          <t>Total Revenue ($)</t>
        </is>
      </c>
      <c r="E6" s="18" t="inlineStr">
        <is>
          <t>Total Expenses ($)</t>
        </is>
      </c>
      <c r="F6" s="18" t="inlineStr">
        <is>
          <t>Payroll ($)</t>
        </is>
      </c>
      <c r="G6" s="18" t="inlineStr">
        <is>
          <t>AR Outstanding ($)</t>
        </is>
      </c>
      <c r="H6" s="18" t="inlineStr">
        <is>
          <t>AP Outstanding ($)</t>
        </is>
      </c>
    </row>
    <row r="7" ht="19.5" customHeight="1" s="56">
      <c r="A7" s="42" t="inlineStr">
        <is>
          <t>Jan-2026</t>
        </is>
      </c>
      <c r="B7" s="43" t="n">
        <v>180000</v>
      </c>
      <c r="C7" s="43" t="n">
        <v>182000</v>
      </c>
      <c r="D7" s="43" t="n">
        <v>52000</v>
      </c>
      <c r="E7" s="43" t="n">
        <v>50000</v>
      </c>
      <c r="F7" s="43" t="n">
        <v>28000</v>
      </c>
      <c r="G7" s="43" t="n">
        <v>22000</v>
      </c>
      <c r="H7" s="43" t="n">
        <v>6000</v>
      </c>
    </row>
    <row r="8" ht="19.5" customHeight="1" s="56">
      <c r="A8" s="42" t="inlineStr">
        <is>
          <t>Feb-2026</t>
        </is>
      </c>
      <c r="B8" s="43" t="n">
        <v>182000</v>
      </c>
      <c r="C8" s="43" t="n">
        <v>185500</v>
      </c>
      <c r="D8" s="43" t="n">
        <v>54000</v>
      </c>
      <c r="E8" s="43" t="n">
        <v>50500</v>
      </c>
      <c r="F8" s="43" t="n">
        <v>28000</v>
      </c>
      <c r="G8" s="43" t="n">
        <v>23500</v>
      </c>
      <c r="H8" s="43" t="n">
        <v>6200</v>
      </c>
    </row>
    <row r="9" ht="19.5" customHeight="1" s="56">
      <c r="A9" s="42" t="inlineStr">
        <is>
          <t>Mar-2026</t>
        </is>
      </c>
      <c r="B9" s="43" t="n">
        <v>185500</v>
      </c>
      <c r="C9" s="43" t="n">
        <v>190200</v>
      </c>
      <c r="D9" s="43" t="n">
        <v>56000</v>
      </c>
      <c r="E9" s="43" t="n">
        <v>51300</v>
      </c>
      <c r="F9" s="43" t="n">
        <v>28000</v>
      </c>
      <c r="G9" s="43" t="n">
        <v>24100</v>
      </c>
      <c r="H9" s="43" t="n">
        <v>6400</v>
      </c>
    </row>
    <row r="12" ht="27.75" customHeight="1" s="56">
      <c r="A12" s="68" t="inlineStr">
        <is>
          <t>SCENARIO B — Warning Zone</t>
        </is>
      </c>
    </row>
    <row r="13" ht="19.5" customHeight="1" s="56">
      <c r="A13" s="70" t="inlineStr">
        <is>
          <t>Burn exceeding revenue, 5 months runway. Amber alerts expected.</t>
        </is>
      </c>
    </row>
    <row r="14" ht="24" customHeight="1" s="56">
      <c r="A14" s="18" t="inlineStr">
        <is>
          <t>Month</t>
        </is>
      </c>
      <c r="B14" s="18" t="inlineStr">
        <is>
          <t>Opening Cash ($)</t>
        </is>
      </c>
      <c r="C14" s="18" t="inlineStr">
        <is>
          <t>Closing Cash ($)</t>
        </is>
      </c>
      <c r="D14" s="18" t="inlineStr">
        <is>
          <t>Total Revenue ($)</t>
        </is>
      </c>
      <c r="E14" s="18" t="inlineStr">
        <is>
          <t>Total Expenses ($)</t>
        </is>
      </c>
      <c r="F14" s="18" t="inlineStr">
        <is>
          <t>Payroll ($)</t>
        </is>
      </c>
      <c r="G14" s="18" t="inlineStr">
        <is>
          <t>AR Outstanding ($)</t>
        </is>
      </c>
      <c r="H14" s="18" t="inlineStr">
        <is>
          <t>AP Outstanding ($)</t>
        </is>
      </c>
    </row>
    <row r="15" ht="19.5" customHeight="1" s="56">
      <c r="A15" s="45" t="inlineStr">
        <is>
          <t>Jan-2026</t>
        </is>
      </c>
      <c r="B15" s="46" t="n">
        <v>95000</v>
      </c>
      <c r="C15" s="46" t="n">
        <v>83000</v>
      </c>
      <c r="D15" s="46" t="n">
        <v>32000</v>
      </c>
      <c r="E15" s="46" t="n">
        <v>44000</v>
      </c>
      <c r="F15" s="46" t="n">
        <v>26000</v>
      </c>
      <c r="G15" s="46" t="n">
        <v>8000</v>
      </c>
      <c r="H15" s="46" t="n">
        <v>9200</v>
      </c>
    </row>
    <row r="16" ht="19.5" customHeight="1" s="56">
      <c r="A16" s="45" t="inlineStr">
        <is>
          <t>Feb-2026</t>
        </is>
      </c>
      <c r="B16" s="46" t="n">
        <v>83000</v>
      </c>
      <c r="C16" s="46" t="n">
        <v>70200</v>
      </c>
      <c r="D16" s="46" t="n">
        <v>33000</v>
      </c>
      <c r="E16" s="46" t="n">
        <v>45800</v>
      </c>
      <c r="F16" s="46" t="n">
        <v>26000</v>
      </c>
      <c r="G16" s="46" t="n">
        <v>8500</v>
      </c>
      <c r="H16" s="46" t="n">
        <v>9800</v>
      </c>
    </row>
    <row r="17" ht="19.5" customHeight="1" s="56">
      <c r="A17" s="45" t="inlineStr">
        <is>
          <t>Mar-2026</t>
        </is>
      </c>
      <c r="B17" s="46" t="n">
        <v>70200</v>
      </c>
      <c r="C17" s="46" t="n">
        <v>56800</v>
      </c>
      <c r="D17" s="46" t="n">
        <v>34500</v>
      </c>
      <c r="E17" s="46" t="n">
        <v>47900</v>
      </c>
      <c r="F17" s="46" t="n">
        <v>28000</v>
      </c>
      <c r="G17" s="46" t="n">
        <v>9100</v>
      </c>
      <c r="H17" s="46" t="n">
        <v>10200</v>
      </c>
    </row>
    <row r="20" ht="27.75" customHeight="1" s="56">
      <c r="A20" s="68" t="inlineStr">
        <is>
          <t>SCENARIO C — Critical / Danger</t>
        </is>
      </c>
    </row>
    <row r="21" ht="19.5" customHeight="1" s="56">
      <c r="A21" s="71" t="inlineStr">
        <is>
          <t>2.5 months runway, high burn, significant AR/AP imbalance. Red alerts expected.</t>
        </is>
      </c>
    </row>
    <row r="22" ht="24" customHeight="1" s="56">
      <c r="A22" s="18" t="inlineStr">
        <is>
          <t>Month</t>
        </is>
      </c>
      <c r="B22" s="18" t="inlineStr">
        <is>
          <t>Opening Cash ($)</t>
        </is>
      </c>
      <c r="C22" s="18" t="inlineStr">
        <is>
          <t>Closing Cash ($)</t>
        </is>
      </c>
      <c r="D22" s="18" t="inlineStr">
        <is>
          <t>Total Revenue ($)</t>
        </is>
      </c>
      <c r="E22" s="18" t="inlineStr">
        <is>
          <t>Total Expenses ($)</t>
        </is>
      </c>
      <c r="F22" s="18" t="inlineStr">
        <is>
          <t>Payroll ($)</t>
        </is>
      </c>
      <c r="G22" s="18" t="inlineStr">
        <is>
          <t>AR Outstanding ($)</t>
        </is>
      </c>
      <c r="H22" s="18" t="inlineStr">
        <is>
          <t>AP Outstanding ($)</t>
        </is>
      </c>
    </row>
    <row r="23" ht="19.5" customHeight="1" s="56">
      <c r="A23" s="48" t="inlineStr">
        <is>
          <t>Jan-2026</t>
        </is>
      </c>
      <c r="B23" s="49" t="n">
        <v>72000</v>
      </c>
      <c r="C23" s="49" t="n">
        <v>55200</v>
      </c>
      <c r="D23" s="49" t="n">
        <v>28000</v>
      </c>
      <c r="E23" s="49" t="n">
        <v>44800</v>
      </c>
      <c r="F23" s="49" t="n">
        <v>26000</v>
      </c>
      <c r="G23" s="49" t="n">
        <v>18000</v>
      </c>
      <c r="H23" s="49" t="n">
        <v>14200</v>
      </c>
    </row>
    <row r="24" ht="19.5" customHeight="1" s="56">
      <c r="A24" s="48" t="inlineStr">
        <is>
          <t>Feb-2026</t>
        </is>
      </c>
      <c r="B24" s="49" t="n">
        <v>55200</v>
      </c>
      <c r="C24" s="49" t="n">
        <v>38100</v>
      </c>
      <c r="D24" s="49" t="n">
        <v>29500</v>
      </c>
      <c r="E24" s="49" t="n">
        <v>46600</v>
      </c>
      <c r="F24" s="49" t="n">
        <v>26000</v>
      </c>
      <c r="G24" s="49" t="n">
        <v>21000</v>
      </c>
      <c r="H24" s="49" t="n">
        <v>16800</v>
      </c>
    </row>
    <row r="25" ht="19.5" customHeight="1" s="56">
      <c r="A25" s="48" t="inlineStr">
        <is>
          <t>Mar-2026</t>
        </is>
      </c>
      <c r="B25" s="49" t="n">
        <v>38100</v>
      </c>
      <c r="C25" s="49" t="n">
        <v>20400</v>
      </c>
      <c r="D25" s="49" t="n">
        <v>31000</v>
      </c>
      <c r="E25" s="49" t="n">
        <v>48700</v>
      </c>
      <c r="F25" s="49" t="n">
        <v>28000</v>
      </c>
      <c r="G25" s="49" t="n">
        <v>24000</v>
      </c>
      <c r="H25" s="49" t="n">
        <v>18900</v>
      </c>
    </row>
    <row r="26" ht="15.75" customHeight="1" s="56"/>
    <row r="27" ht="15.75" customHeight="1" s="56"/>
    <row r="28" ht="27.75" customHeight="1" s="56">
      <c r="A28" s="68" t="inlineStr">
        <is>
          <t>SCENARIO D — Seasonal Business</t>
        </is>
      </c>
    </row>
    <row r="29" ht="19.5" customHeight="1" s="56">
      <c r="A29" s="72" t="inlineStr">
        <is>
          <t>Service business with seasonal revenue peaks (Q2/Q3 strong, Q1/Q4 lean).</t>
        </is>
      </c>
    </row>
    <row r="30" ht="24" customHeight="1" s="56">
      <c r="A30" s="18" t="inlineStr">
        <is>
          <t>Month</t>
        </is>
      </c>
      <c r="B30" s="18" t="inlineStr">
        <is>
          <t>Opening Cash ($)</t>
        </is>
      </c>
      <c r="C30" s="18" t="inlineStr">
        <is>
          <t>Closing Cash ($)</t>
        </is>
      </c>
      <c r="D30" s="18" t="inlineStr">
        <is>
          <t>Total Revenue ($)</t>
        </is>
      </c>
      <c r="E30" s="18" t="inlineStr">
        <is>
          <t>Total Expenses ($)</t>
        </is>
      </c>
      <c r="F30" s="18" t="inlineStr">
        <is>
          <t>Payroll ($)</t>
        </is>
      </c>
      <c r="G30" s="18" t="inlineStr">
        <is>
          <t>AR Outstanding ($)</t>
        </is>
      </c>
      <c r="H30" s="18" t="inlineStr">
        <is>
          <t>AP Outstanding ($)</t>
        </is>
      </c>
    </row>
    <row r="31" ht="19.5" customHeight="1" s="56">
      <c r="A31" s="51" t="inlineStr">
        <is>
          <t>Jan-2026</t>
        </is>
      </c>
      <c r="B31" s="52" t="n">
        <v>140000</v>
      </c>
      <c r="C31" s="52" t="n">
        <v>122000</v>
      </c>
      <c r="D31" s="52" t="n">
        <v>22000</v>
      </c>
      <c r="E31" s="52" t="n">
        <v>40000</v>
      </c>
      <c r="F31" s="52" t="n">
        <v>24000</v>
      </c>
      <c r="G31" s="52" t="n">
        <v>5000</v>
      </c>
      <c r="H31" s="52" t="n">
        <v>8000</v>
      </c>
    </row>
    <row r="32" ht="19.5" customHeight="1" s="56">
      <c r="A32" s="51" t="inlineStr">
        <is>
          <t>Feb-2026</t>
        </is>
      </c>
      <c r="B32" s="52" t="n">
        <v>122000</v>
      </c>
      <c r="C32" s="52" t="n">
        <v>106000</v>
      </c>
      <c r="D32" s="52" t="n">
        <v>24000</v>
      </c>
      <c r="E32" s="52" t="n">
        <v>40000</v>
      </c>
      <c r="F32" s="52" t="n">
        <v>24000</v>
      </c>
      <c r="G32" s="52" t="n">
        <v>5500</v>
      </c>
      <c r="H32" s="52" t="n">
        <v>8000</v>
      </c>
    </row>
    <row r="33" ht="19.5" customHeight="1" s="56">
      <c r="A33" s="51" t="inlineStr">
        <is>
          <t>Mar-2026</t>
        </is>
      </c>
      <c r="B33" s="52" t="n">
        <v>106000</v>
      </c>
      <c r="C33" s="52" t="n">
        <v>112000</v>
      </c>
      <c r="D33" s="52" t="n">
        <v>48000</v>
      </c>
      <c r="E33" s="52" t="n">
        <v>42000</v>
      </c>
      <c r="F33" s="52" t="n">
        <v>24000</v>
      </c>
      <c r="G33" s="52" t="n">
        <v>12000</v>
      </c>
      <c r="H33" s="52" t="n">
        <v>8500</v>
      </c>
    </row>
    <row r="34" ht="19.5" customHeight="1" s="56">
      <c r="A34" s="51" t="inlineStr">
        <is>
          <t>Apr-2026</t>
        </is>
      </c>
      <c r="B34" s="52" t="n">
        <v>112000</v>
      </c>
      <c r="C34" s="52" t="n">
        <v>128000</v>
      </c>
      <c r="D34" s="52" t="n">
        <v>62000</v>
      </c>
      <c r="E34" s="52" t="n">
        <v>46000</v>
      </c>
      <c r="F34" s="52" t="n">
        <v>26000</v>
      </c>
      <c r="G34" s="52" t="n">
        <v>18000</v>
      </c>
      <c r="H34" s="52" t="n">
        <v>9000</v>
      </c>
    </row>
    <row r="35" ht="19.5" customHeight="1" s="56">
      <c r="A35" s="51" t="inlineStr">
        <is>
          <t>May-2026</t>
        </is>
      </c>
      <c r="B35" s="52" t="n">
        <v>128000</v>
      </c>
      <c r="C35" s="52" t="n">
        <v>148000</v>
      </c>
      <c r="D35" s="52" t="n">
        <v>68000</v>
      </c>
      <c r="E35" s="52" t="n">
        <v>48000</v>
      </c>
      <c r="F35" s="52" t="n">
        <v>26000</v>
      </c>
      <c r="G35" s="52" t="n">
        <v>22000</v>
      </c>
      <c r="H35" s="52" t="n">
        <v>9500</v>
      </c>
    </row>
    <row r="36" ht="15.75" customHeight="1" s="56"/>
    <row r="37" ht="15.75" customHeight="1" s="56"/>
    <row r="38" ht="27.75" customHeight="1" s="56">
      <c r="A38" s="68" t="inlineStr">
        <is>
          <t>SCENARIO E — High AR, Cash Constrained</t>
        </is>
      </c>
    </row>
    <row r="39" ht="19.5" customHeight="1" s="56">
      <c r="A39" s="73" t="inlineStr">
        <is>
          <t>Revenue looks good but slow invoice collection creating cash squeeze.</t>
        </is>
      </c>
    </row>
    <row r="40" ht="24" customHeight="1" s="56">
      <c r="A40" s="18" t="inlineStr">
        <is>
          <t>Month</t>
        </is>
      </c>
      <c r="B40" s="18" t="inlineStr">
        <is>
          <t>Opening Cash ($)</t>
        </is>
      </c>
      <c r="C40" s="18" t="inlineStr">
        <is>
          <t>Closing Cash ($)</t>
        </is>
      </c>
      <c r="D40" s="18" t="inlineStr">
        <is>
          <t>Total Revenue ($)</t>
        </is>
      </c>
      <c r="E40" s="18" t="inlineStr">
        <is>
          <t>Total Expenses ($)</t>
        </is>
      </c>
      <c r="F40" s="18" t="inlineStr">
        <is>
          <t>Payroll ($)</t>
        </is>
      </c>
      <c r="G40" s="18" t="inlineStr">
        <is>
          <t>AR Outstanding ($)</t>
        </is>
      </c>
      <c r="H40" s="18" t="inlineStr">
        <is>
          <t>AP Outstanding ($)</t>
        </is>
      </c>
    </row>
    <row r="41" ht="19.5" customHeight="1" s="56">
      <c r="A41" s="54" t="inlineStr">
        <is>
          <t>Jan-2026</t>
        </is>
      </c>
      <c r="B41" s="55" t="n">
        <v>55000</v>
      </c>
      <c r="C41" s="55" t="n">
        <v>48200</v>
      </c>
      <c r="D41" s="55" t="n">
        <v>45000</v>
      </c>
      <c r="E41" s="55" t="n">
        <v>51800</v>
      </c>
      <c r="F41" s="55" t="n">
        <v>28000</v>
      </c>
      <c r="G41" s="55" t="n">
        <v>38000</v>
      </c>
      <c r="H41" s="55" t="n">
        <v>5000</v>
      </c>
    </row>
    <row r="42" ht="19.5" customHeight="1" s="56">
      <c r="A42" s="54" t="inlineStr">
        <is>
          <t>Feb-2026</t>
        </is>
      </c>
      <c r="B42" s="55" t="n">
        <v>48200</v>
      </c>
      <c r="C42" s="55" t="n">
        <v>42100</v>
      </c>
      <c r="D42" s="55" t="n">
        <v>46500</v>
      </c>
      <c r="E42" s="55" t="n">
        <v>52600</v>
      </c>
      <c r="F42" s="55" t="n">
        <v>28000</v>
      </c>
      <c r="G42" s="55" t="n">
        <v>42000</v>
      </c>
      <c r="H42" s="55" t="n">
        <v>5200</v>
      </c>
    </row>
    <row r="43" ht="19.5" customHeight="1" s="56">
      <c r="A43" s="54" t="inlineStr">
        <is>
          <t>Mar-2026</t>
        </is>
      </c>
      <c r="B43" s="55" t="n">
        <v>42100</v>
      </c>
      <c r="C43" s="55" t="n">
        <v>36800</v>
      </c>
      <c r="D43" s="55" t="n">
        <v>48000</v>
      </c>
      <c r="E43" s="55" t="n">
        <v>53300</v>
      </c>
      <c r="F43" s="55" t="n">
        <v>28000</v>
      </c>
      <c r="G43" s="55" t="n">
        <v>47000</v>
      </c>
      <c r="H43" s="55" t="n">
        <v>5400</v>
      </c>
    </row>
    <row r="44" ht="15.75" customHeight="1" s="56"/>
    <row r="45" ht="15.75" customHeight="1" s="56"/>
    <row r="46" ht="15.75" customHeight="1" s="56"/>
    <row r="47" ht="15.75" customHeight="1" s="56"/>
    <row r="48" ht="15.75" customHeight="1" s="56"/>
    <row r="49" ht="15.75" customHeight="1" s="56"/>
    <row r="50" ht="15.75" customHeight="1" s="56"/>
    <row r="51" ht="15.75" customHeight="1" s="56"/>
    <row r="52" ht="15.75" customHeight="1" s="56"/>
    <row r="53" ht="15.75" customHeight="1" s="56"/>
    <row r="54" ht="15.75" customHeight="1" s="56"/>
    <row r="55" ht="15.75" customHeight="1" s="56"/>
    <row r="56" ht="15.75" customHeight="1" s="56"/>
    <row r="57" ht="15.75" customHeight="1" s="56"/>
    <row r="58" ht="15.75" customHeight="1" s="56"/>
    <row r="59" ht="15.75" customHeight="1" s="56"/>
    <row r="60" ht="15.75" customHeight="1" s="56"/>
    <row r="61" ht="15.75" customHeight="1" s="56"/>
    <row r="62" ht="15.75" customHeight="1" s="56"/>
    <row r="63" ht="15.75" customHeight="1" s="56"/>
    <row r="64" ht="15.75" customHeight="1" s="56"/>
    <row r="65" ht="15.75" customHeight="1" s="56"/>
    <row r="66" ht="15.75" customHeight="1" s="56"/>
    <row r="67" ht="15.75" customHeight="1" s="56"/>
    <row r="68" ht="15.75" customHeight="1" s="56"/>
    <row r="69" ht="15.75" customHeight="1" s="56"/>
    <row r="70" ht="15.75" customHeight="1" s="56"/>
    <row r="71" ht="15.75" customHeight="1" s="56"/>
    <row r="72" ht="15.75" customHeight="1" s="56"/>
    <row r="73" ht="15.75" customHeight="1" s="56"/>
    <row r="74" ht="15.75" customHeight="1" s="56"/>
    <row r="75" ht="15.75" customHeight="1" s="56"/>
    <row r="76" ht="15.75" customHeight="1" s="56"/>
    <row r="77" ht="15.75" customHeight="1" s="56"/>
    <row r="78" ht="15.75" customHeight="1" s="56"/>
    <row r="79" ht="15.75" customHeight="1" s="56"/>
    <row r="80" ht="15.75" customHeight="1" s="56"/>
    <row r="81" ht="15.75" customHeight="1" s="56"/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2026-04-13T01:03:58Z</dcterms:created>
  <dcterms:modified xmlns:dcterms="http://purl.org/dc/terms/" xmlns:xsi="http://www.w3.org/2001/XMLSchema-instance" xsi:type="dcterms:W3CDTF">2026-06-05T22:25:25Z</dcterms:modified>
</cp:coreProperties>
</file>