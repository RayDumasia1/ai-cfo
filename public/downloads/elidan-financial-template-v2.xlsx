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e190498e7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056edc2dade444c"/>
    <x:sheet xmlns:r="http://schemas.openxmlformats.org/officeDocument/2006/relationships" name="Monthly Cash" sheetId="2" r:id="R3a830df9e96d4ee2"/>
    <x:sheet xmlns:r="http://schemas.openxmlformats.org/officeDocument/2006/relationships" name="Optional Detail" sheetId="3" r:id="R3fa45b34fd8c448a"/>
    <x:sheet xmlns:r="http://schemas.openxmlformats.org/officeDocument/2006/relationships" name="Worked Example" sheetId="4" r:id="R83778716cd3a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mmm-yy"/>
    <x:numFmt numFmtId="202" formatCode="dd-mmm-yy"/>
    <x:numFmt numFmtId="203" formatCode="#,##0;[Red](#,##0);-"/>
  </x:numFmts>
  <x:fonts count="10">
    <x:font>
      <x:sz val="11"/>
      <x:name val="Carlito"/>
    </x:font>
    <x:font>
      <x:b/>
      <x:sz val="15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1"/>
      <x:color rgb="FF243B53"/>
      <x:name val="Arial"/>
    </x:font>
    <x:font>
      <x:sz val="11"/>
      <x:color rgb="FF1D4ED8"/>
      <x:name val="Arial"/>
    </x:font>
    <x:font>
      <x:i/>
      <x:sz val="11"/>
      <x:color rgb="FF64748B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243B5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5"/>
      </x:patternFill>
    </x:fill>
    <x:fill>
      <x:patternFill patternType="solid">
        <x:fgColor rgb="FFF7FAFC"/>
      </x:patternFill>
    </x:fill>
    <x:fill>
      <x:patternFill patternType="solid">
        <x:fgColor rgb="FF2BA7A5"/>
      </x:patternFill>
    </x:fill>
    <x:fill>
      <x:patternFill patternType="solid">
        <x:fgColor rgb="FFFFF7CC"/>
      </x:patternFill>
    </x:fill>
    <x:fill>
      <x:patternFill patternType="solid">
        <x:fgColor rgb="FFDDF3F2"/>
      </x:patternFill>
    </x:fill>
    <x:fill>
      <x:patternFill patternType="solid">
        <x:fgColor rgb="FF334155"/>
      </x:patternFill>
    </x:fill>
    <x:fill>
      <x:patternFill patternType="solid">
        <x:fgColor rgb="FFEEF2F7"/>
      </x:patternFill>
    </x:fill>
  </x:fills>
  <x:borders count="22">
    <x:border>
      <x:left/>
      <x:right/>
      <x:top/>
      <x:bottom/>
      <x:diagonal/>
    </x:border>
    <x:border>
      <x:left style="thin">
        <x:color rgb="FF2BA7A5"/>
      </x:left>
      <x:right/>
      <x:top style="thin">
        <x:color rgb="FF2BA7A5"/>
      </x:top>
      <x:bottom style="thin">
        <x:color rgb="FF2BA7A5"/>
      </x:bottom>
      <x:diagonal/>
    </x:border>
    <x:border>
      <x:left/>
      <x:right/>
      <x:top style="thin">
        <x:color rgb="FF2BA7A5"/>
      </x:top>
      <x:bottom style="thin">
        <x:color rgb="FF2BA7A5"/>
      </x:bottom>
      <x:diagonal/>
    </x:border>
    <x:border>
      <x:left/>
      <x:right style="thin">
        <x:color rgb="FF2BA7A5"/>
      </x:right>
      <x:top style="thin">
        <x:color rgb="FF2BA7A5"/>
      </x:top>
      <x:bottom style="thin">
        <x:color rgb="FF2BA7A5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 style="thin">
        <x:color rgb="FFCBD5E1"/>
      </x:right>
      <x:top/>
      <x:bottom/>
      <x:diagonal/>
    </x:border>
    <x:border>
      <x:left style="thin">
        <x:color rgb="FFCBD5E1"/>
      </x:left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2BA7A5"/>
      </x:left>
      <x:right/>
      <x:top style="thin">
        <x:color rgb="FF2BA7A5"/>
      </x:top>
      <x:bottom/>
      <x:diagonal/>
    </x:border>
    <x:border>
      <x:left/>
      <x:right/>
      <x:top style="thin">
        <x:color rgb="FF2BA7A5"/>
      </x:top>
      <x:bottom/>
      <x:diagonal/>
    </x:border>
    <x:border>
      <x:left/>
      <x:right style="thin">
        <x:color rgb="FF2BA7A5"/>
      </x:right>
      <x:top style="thin">
        <x:color rgb="FF2BA7A5"/>
      </x:top>
      <x:bottom/>
      <x:diagonal/>
    </x:border>
    <x:border>
      <x:left style="thin">
        <x:color rgb="FF2BA7A5"/>
      </x:left>
      <x:right/>
      <x:top/>
      <x:bottom style="thin">
        <x:color rgb="FF2BA7A5"/>
      </x:bottom>
      <x:diagonal/>
    </x:border>
    <x:border>
      <x:left/>
      <x:right/>
      <x:top/>
      <x:bottom style="thin">
        <x:color rgb="FF2BA7A5"/>
      </x:bottom>
      <x:diagonal/>
    </x:border>
    <x:border>
      <x:left/>
      <x:right style="thin">
        <x:color rgb="FF2BA7A5"/>
      </x:right>
      <x:top/>
      <x:bottom style="thin">
        <x:color rgb="FF2BA7A5"/>
      </x:bottom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 style="thin">
        <x:color rgb="FF2BA7A5"/>
      </x:left>
      <x:right/>
      <x:top/>
      <x:bottom/>
      <x:diagonal/>
    </x:border>
    <x:border>
      <x:left/>
      <x:right style="thin">
        <x:color rgb="FF2BA7A5"/>
      </x:right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6" fillId="0" borderId="0" xfId="0" applyNumberFormat="1" applyFont="1" applyFill="1" applyBorder="1"/>
    <x:xf numFmtId="200" fontId="5" fillId="5" borderId="5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13" xfId="0" applyNumberFormat="1" applyFont="1" applyFill="1" applyBorder="1"/>
    <x:xf numFmtId="0" fontId="8" fillId="4" borderId="14" xfId="0" applyNumberFormat="1" applyFont="1" applyFill="1" applyBorder="1"/>
    <x:xf numFmtId="0" fontId="8" fillId="4" borderId="15" xfId="0" applyNumberFormat="1" applyFont="1" applyFill="1" applyBorder="1"/>
    <x:xf numFmtId="0" fontId="8" fillId="4" borderId="13" xfId="0" applyNumberFormat="1" applyFont="1" applyFill="1" applyBorder="1" applyAlignment="1">
      <x:alignment horizontal="center"/>
    </x:xf>
    <x:xf numFmtId="0" fontId="8" fillId="4" borderId="14" xfId="0" applyNumberFormat="1" applyFont="1" applyFill="1" applyBorder="1" applyAlignment="1">
      <x:alignment horizontal="center"/>
    </x:xf>
    <x:xf numFmtId="0" fontId="8" fillId="4" borderId="15" xfId="0" applyNumberFormat="1" applyFont="1" applyFill="1" applyBorder="1" applyAlignment="1">
      <x:alignment horizontal="center"/>
    </x:xf>
    <x:xf numFmtId="0" fontId="8" fillId="4" borderId="16" xfId="0" applyNumberFormat="1" applyFont="1" applyFill="1" applyBorder="1"/>
    <x:xf numFmtId="0" fontId="8" fillId="4" borderId="1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6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horizontal="center" wrapText="1"/>
    </x:xf>
    <x:xf numFmtId="0" fontId="8" fillId="7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7" xfId="0" applyNumberFormat="1" applyFont="1" applyFill="1" applyBorder="1"/>
    <x:xf numFmtId="0" fontId="9" fillId="8" borderId="18" xfId="0" applyNumberFormat="1" applyFont="1" applyFill="1" applyBorder="1"/>
    <x:xf numFmtId="201" fontId="5" fillId="5" borderId="17" xfId="0" applyNumberFormat="1" applyFont="1" applyFill="1" applyBorder="1"/>
    <x:xf numFmtId="201" fontId="5" fillId="5" borderId="18" xfId="0" applyNumberFormat="1" applyFont="1" applyFill="1" applyBorder="1"/>
    <x:xf numFmtId="202" fontId="5" fillId="5" borderId="17" xfId="0" applyNumberFormat="1" applyFont="1" applyFill="1" applyBorder="1"/>
    <x:xf numFmtId="202" fontId="5" fillId="5" borderId="18" xfId="0" applyNumberFormat="1" applyFont="1" applyFill="1" applyBorder="1"/>
    <x:xf numFmtId="203" fontId="5" fillId="5" borderId="17" xfId="0" applyNumberFormat="1" applyFont="1" applyFill="1" applyBorder="1"/>
    <x:xf numFmtId="203" fontId="9" fillId="8" borderId="17" xfId="0" applyNumberFormat="1" applyFont="1" applyFill="1" applyBorder="1"/>
    <x:xf numFmtId="203" fontId="5" fillId="5" borderId="18" xfId="0" applyNumberFormat="1" applyFont="1" applyFill="1" applyBorder="1"/>
    <x:xf numFmtId="203" fontId="9" fillId="8" borderId="18" xfId="0" applyNumberFormat="1" applyFont="1" applyFill="1" applyBorder="1"/>
    <x:xf numFmtId="201" fontId="9" fillId="8" borderId="17" xfId="0" applyNumberFormat="1" applyFont="1" applyFill="1" applyBorder="1"/>
    <x:xf numFmtId="201" fontId="9" fillId="8" borderId="18" xfId="0" applyNumberFormat="1" applyFont="1" applyFill="1" applyBorder="1"/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7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9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201" fontId="5" fillId="5" borderId="0" xfId="0" applyNumberFormat="1" applyFont="1" applyFill="1" applyBorder="1"/>
    <x:xf numFmtId="203" fontId="5" fillId="5" borderId="0" xfId="0" applyNumberFormat="1" applyFont="1" applyFill="1" applyBorder="1"/>
    <x:xf numFmtId="201" fontId="5" fillId="5" borderId="21" xfId="0" applyNumberFormat="1" applyFont="1" applyFill="1" applyBorder="1"/>
    <x:xf numFmtId="0" fontId="5" fillId="5" borderId="21" xfId="0" applyNumberFormat="1" applyFont="1" applyFill="1" applyBorder="1"/>
    <x:xf numFmtId="203" fontId="5" fillId="5" borderId="21" xfId="0" applyNumberFormat="1" applyFont="1" applyFill="1" applyBorder="1"/>
    <x:xf numFmtId="203" fontId="0" fillId="8" borderId="0" xfId="0" applyNumberFormat="1" applyFont="1" applyFill="1" applyBorder="1"/>
    <x:xf numFmtId="203" fontId="9" fillId="8" borderId="0" xfId="0" applyNumberFormat="1" applyFont="1" applyFill="1" applyBorder="1"/>
    <x:xf numFmtId="203" fontId="9" fillId="8" borderId="21" xfId="0" applyNumberFormat="1" applyFont="1" applyFill="1" applyBorder="1"/>
    <x:xf numFmtId="0" fontId="9" fillId="8" borderId="21" xfId="0" applyNumberFormat="1" applyFont="1" applyFill="1" applyBorder="1"/>
  </x:cellXfs>
  <x:cellStyles count="1">
    <x:cellStyle name="Normal" xfId="0"/>
  </x:cellStyles>
  <x:dxfs count="8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a32bed07f484e" /><Relationship Type="http://schemas.openxmlformats.org/officeDocument/2006/relationships/theme" Target="/xl/theme/theme1.xml" Id="R17540bfbbe164c9d" /><Relationship Type="http://schemas.openxmlformats.org/officeDocument/2006/relationships/sharedStrings" Target="/xl/sharedStrings.xml" Id="R5adad83a23dc4452" /><Relationship Type="http://schemas.openxmlformats.org/officeDocument/2006/relationships/worksheet" Target="/xl/worksheets/sheet1.xml" Id="R1056edc2dade444c" /><Relationship Type="http://schemas.openxmlformats.org/officeDocument/2006/relationships/worksheet" Target="/xl/worksheets/sheet2.xml" Id="R3a830df9e96d4ee2" /><Relationship Type="http://schemas.openxmlformats.org/officeDocument/2006/relationships/worksheet" Target="/xl/worksheets/sheet3.xml" Id="R3fa45b34fd8c448a" /><Relationship Type="http://schemas.openxmlformats.org/officeDocument/2006/relationships/worksheet" Target="/xl/worksheets/sheet4.xml" Id="R83778716cd3a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1F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3" t="str">
        <x:v>ELIDAN AI  |  Monthly cash template</x:v>
      </x:c>
      <x:c r="B1" s="3" t="str">
        <x:v>ELIDAN AI  |  Monthly cash template</x:v>
      </x:c>
      <x:c r="C1" s="3" t="str">
        <x:v>ELIDAN AI  |  Monthly cash template</x:v>
      </x:c>
      <x:c r="D1" s="3" t="str">
        <x:v>ELIDAN AI  |  Monthly cash template</x:v>
      </x:c>
      <x:c r="E1" s="3" t="str">
        <x:v>ELIDAN AI  |  Monthly cash template</x:v>
      </x:c>
      <x:c r="F1" s="3" t="str">
        <x:v>ELIDAN AI  |  Monthly cash template</x:v>
      </x:c>
    </x:row>
    <x:row r="2" ht="30" customHeight="1">
      <x:c r="A2" s="3" t="str">
        <x:v>ELIDAN AI  |  Monthly cash template</x:v>
      </x:c>
      <x:c r="B2" s="3" t="str">
        <x:v>ELIDAN AI  |  Monthly cash template</x:v>
      </x:c>
      <x:c r="C2" s="3" t="str">
        <x:v>ELIDAN AI  |  Monthly cash template</x:v>
      </x:c>
      <x:c r="D2" s="3" t="str">
        <x:v>ELIDAN AI  |  Monthly cash template</x:v>
      </x:c>
      <x:c r="E2" s="3" t="str">
        <x:v>ELIDAN AI  |  Monthly cash template</x:v>
      </x:c>
      <x:c r="F2" s="3" t="str">
        <x:v>ELIDAN AI  |  Monthly cash template</x:v>
      </x:c>
    </x:row>
    <x:row r="3" ht="30" customHeight="1">
      <x:c r="A3" s="7" t="str">
        <x:v>Version 2.0  |  Enter completed monthly cash activity. The workbook checks whether cash changes reconcile before upload.</x:v>
      </x:c>
      <x:c r="B3" s="7" t="str">
        <x:v>Version 2.0  |  Enter completed monthly cash activity. The workbook checks whether cash changes reconcile before upload.</x:v>
      </x:c>
      <x:c r="C3" s="7" t="str">
        <x:v>Version 2.0  |  Enter completed monthly cash activity. The workbook checks whether cash changes reconcile before upload.</x:v>
      </x:c>
      <x:c r="D3" s="7" t="str">
        <x:v>Version 2.0  |  Enter completed monthly cash activity. The workbook checks whether cash changes reconcile before upload.</x:v>
      </x:c>
      <x:c r="E3" s="7" t="str">
        <x:v>Version 2.0  |  Enter completed monthly cash activity. The workbook checks whether cash changes reconcile before upload.</x:v>
      </x:c>
      <x:c r="F3" s="7" t="str">
        <x:v>Version 2.0  |  Enter completed monthly cash activity. The workbook checks whether cash changes reconcile before upload.</x:v>
      </x:c>
    </x:row>
    <x:row r="4" ht="30" customHeight="1">
      <x:c r="A4" s="7" t="str">
        <x:v>Version 2.0  |  Enter completed monthly cash activity. The workbook checks whether cash changes reconcile before upload.</x:v>
      </x:c>
      <x:c r="B4" s="7" t="str">
        <x:v>Version 2.0  |  Enter completed monthly cash activity. The workbook checks whether cash changes reconcile before upload.</x:v>
      </x:c>
      <x:c r="C4" s="7" t="str">
        <x:v>Version 2.0  |  Enter completed monthly cash activity. The workbook checks whether cash changes reconcile before upload.</x:v>
      </x:c>
      <x:c r="D4" s="7" t="str">
        <x:v>Version 2.0  |  Enter completed monthly cash activity. The workbook checks whether cash changes reconcile before upload.</x:v>
      </x:c>
      <x:c r="E4" s="7" t="str">
        <x:v>Version 2.0  |  Enter completed monthly cash activity. The workbook checks whether cash changes reconcile before upload.</x:v>
      </x:c>
      <x:c r="F4" s="7" t="str">
        <x:v>Version 2.0  |  Enter completed monthly cash activity. The workbook checks whether cash changes reconcile before upload.</x:v>
      </x:c>
    </x:row>
    <x:row r="6" ht="22" customHeight="1">
      <x:c r="A6" s="10" t="str">
        <x:v>1  SET UP THE WORKBOOK</x:v>
      </x:c>
      <x:c r="B6" s="11" t="str">
        <x:v>1  SET UP THE WORKBOOK</x:v>
      </x:c>
      <x:c r="C6" s="11" t="str">
        <x:v>1  SET UP THE WORKBOOK</x:v>
      </x:c>
      <x:c r="D6" s="11" t="str">
        <x:v>1  SET UP THE WORKBOOK</x:v>
      </x:c>
      <x:c r="E6" s="11" t="str">
        <x:v>1  SET UP THE WORKBOOK</x:v>
      </x:c>
      <x:c r="F6" s="12" t="str">
        <x:v>1  SET UP THE WORKBOOK</x:v>
      </x:c>
    </x:row>
    <x:row r="7">
      <x:c r="A7" s="13" t="str">
        <x:v>Business name</x:v>
      </x:c>
      <x:c r="B7" s="16"/>
      <x:c r="C7" s="19" t="str">
        <x:v>Used to identify your business in Elidan</x:v>
      </x:c>
    </x:row>
    <x:row r="8">
      <x:c r="A8" s="13" t="str">
        <x:v>Industry</x:v>
      </x:c>
      <x:c r="B8" s="17"/>
      <x:c r="C8" s="19" t="str">
        <x:v>Optional business description</x:v>
      </x:c>
    </x:row>
    <x:row r="9">
      <x:c r="A9" s="13" t="str">
        <x:v>Number of employees</x:v>
      </x:c>
      <x:c r="B9" s="20"/>
      <x:c r="C9" s="19" t="str">
        <x:v>Optional full-time equivalent count</x:v>
      </x:c>
    </x:row>
    <x:row r="10">
      <x:c r="A10" s="13" t="str">
        <x:v>Accounting system</x:v>
      </x:c>
      <x:c r="B10" s="17"/>
      <x:c r="C10" s="19" t="str">
        <x:v>For example: QuickBooks, Xero, or spreadsheet</x:v>
      </x:c>
    </x:row>
    <x:row r="11">
      <x:c r="A11" s="13" t="str">
        <x:v>Reporting currency</x:v>
      </x:c>
      <x:c r="B11" s="17" t="str">
        <x:v>USD</x:v>
      </x:c>
      <x:c r="C11" s="19" t="str">
        <x:v>Use one three-letter currency code for every amount</x:v>
      </x:c>
    </x:row>
    <x:row r="12">
      <x:c r="A12" s="13" t="str">
        <x:v>Accounting basis</x:v>
      </x:c>
      <x:c r="B12" s="18"/>
      <x:c r="C12" s="19" t="str">
        <x:v>Choose the basis used to prepare these values</x:v>
      </x:c>
    </x:row>
    <x:row r="14" ht="22" customHeight="1">
      <x:c r="A14" s="10" t="str">
        <x:v>2  ENTER MONTHLY CASH ACTIVITY</x:v>
      </x:c>
      <x:c r="B14" s="11" t="str">
        <x:v>2  ENTER MONTHLY CASH ACTIVITY</x:v>
      </x:c>
      <x:c r="C14" s="11" t="str">
        <x:v>2  ENTER MONTHLY CASH ACTIVITY</x:v>
      </x:c>
      <x:c r="D14" s="11" t="str">
        <x:v>2  ENTER MONTHLY CASH ACTIVITY</x:v>
      </x:c>
      <x:c r="E14" s="11" t="str">
        <x:v>2  ENTER MONTHLY CASH ACTIVITY</x:v>
      </x:c>
      <x:c r="F14" s="12" t="str">
        <x:v>2  ENTER MONTHLY CASH ACTIVITY</x:v>
      </x:c>
    </x:row>
    <x:row r="15" ht="32" customHeight="1">
      <x:c r="A15" s="13" t="str">
        <x:v>Use completed months</x:v>
      </x:c>
      <x:c r="B15" s="22" t="str">
        <x:v>Enter 6–12 consecutive completed months when available. Older history can be included.</x:v>
      </x:c>
      <x:c r="C15" s="22"/>
      <x:c r="D15" s="22"/>
      <x:c r="E15" s="22"/>
      <x:c r="F15" s="22"/>
    </x:row>
    <x:row r="16" ht="32" customHeight="1">
      <x:c r="A16" s="13" t="str">
        <x:v>Enter cash, not invoices</x:v>
      </x:c>
      <x:c r="B16" s="22" t="str">
        <x:v>Cash collected means customer money received. Operating cash paid means money actually paid for ordinary operations.</x:v>
      </x:c>
      <x:c r="C16" s="22"/>
      <x:c r="D16" s="22"/>
      <x:c r="E16" s="22"/>
      <x:c r="F16" s="22"/>
    </x:row>
    <x:row r="17" ht="32" customHeight="1">
      <x:c r="A17" s="13" t="str">
        <x:v>Keep categories separate</x:v>
      </x:c>
      <x:c r="B17" s="22" t="str">
        <x:v>Exclude owner draws, debt, interest, asset purchases and other separately listed items from operating cash paid.</x:v>
      </x:c>
      <x:c r="C17" s="22"/>
      <x:c r="D17" s="22"/>
      <x:c r="E17" s="22"/>
      <x:c r="F17" s="22"/>
    </x:row>
    <x:row r="18" ht="32" customHeight="1">
      <x:c r="A18" s="13" t="str">
        <x:v>Use zero intentionally</x:v>
      </x:c>
      <x:c r="B18" s="22" t="str">
        <x:v>Enter 0 when an amount is confirmed to be zero. Leave a required cell blank only when it is unknown; that row will not be ready to upload.</x:v>
      </x:c>
      <x:c r="C18" s="22"/>
      <x:c r="D18" s="22"/>
      <x:c r="E18" s="22"/>
      <x:c r="F18" s="22"/>
    </x:row>
    <x:row r="19" ht="32" customHeight="1">
      <x:c r="A19" s="13" t="str">
        <x:v>Complete or partial</x:v>
      </x:c>
      <x:c r="B19" s="22" t="str">
        <x:v>Choose Complete for a finished calendar month. Choose Partial only for the current incomplete month and provide its cutoff date.</x:v>
      </x:c>
      <x:c r="C19" s="22"/>
      <x:c r="D19" s="22"/>
      <x:c r="E19" s="22"/>
      <x:c r="F19" s="22"/>
    </x:row>
    <x:row r="20" ht="32" customHeight="1">
      <x:c r="A20" s="13" t="str">
        <x:v>Check the difference</x:v>
      </x:c>
      <x:c r="B20" s="22" t="str">
        <x:v>A reconciliation difference near zero means the entered cash activity explains the change from opening to closing cash.</x:v>
      </x:c>
      <x:c r="C20" s="22"/>
      <x:c r="D20" s="22"/>
      <x:c r="E20" s="22"/>
      <x:c r="F20" s="22"/>
    </x:row>
    <x:row r="21" ht="32" customHeight="1">
      <x:c r="A21" s="13" t="str">
        <x:v>Optional context</x:v>
      </x:c>
      <x:c r="B21" s="22" t="str">
        <x:v>Use Optional Detail for reserved taxes, near-term receivables and bills, credit availability, and the lowest observed cash balance.</x:v>
      </x:c>
      <x:c r="C21" s="22"/>
      <x:c r="D21" s="22"/>
      <x:c r="E21" s="22"/>
      <x:c r="F21" s="22"/>
    </x:row>
    <x:row r="23" ht="22" customHeight="1">
      <x:c r="A23" s="10" t="str">
        <x:v>3  REVIEW AND UPLOAD</x:v>
      </x:c>
      <x:c r="B23" s="11" t="str">
        <x:v>3  REVIEW AND UPLOAD</x:v>
      </x:c>
      <x:c r="C23" s="11" t="str">
        <x:v>3  REVIEW AND UPLOAD</x:v>
      </x:c>
      <x:c r="D23" s="11" t="str">
        <x:v>3  REVIEW AND UPLOAD</x:v>
      </x:c>
      <x:c r="E23" s="11" t="str">
        <x:v>3  REVIEW AND UPLOAD</x:v>
      </x:c>
      <x:c r="F23" s="12" t="str">
        <x:v>3  REVIEW AND UPLOAD</x:v>
      </x:c>
    </x:row>
    <x:row r="24" ht="30" customHeight="1">
      <x:c r="A24" s="13" t="str">
        <x:v>Review every row</x:v>
      </x:c>
      <x:c r="B24" s="22" t="str">
        <x:v>Each used row should say Ready to upload before you submit the file.</x:v>
      </x:c>
      <x:c r="C24" s="22"/>
      <x:c r="D24" s="22"/>
      <x:c r="E24" s="22"/>
      <x:c r="F24" s="22"/>
    </x:row>
    <x:row r="25" ht="30" customHeight="1">
      <x:c r="A25" s="13" t="str">
        <x:v>Do not rename headers</x:v>
      </x:c>
      <x:c r="B25" s="22" t="str">
        <x:v>Elidan uses the sheet and column names to identify each value.</x:v>
      </x:c>
      <x:c r="C25" s="22"/>
      <x:c r="D25" s="22"/>
      <x:c r="E25" s="22"/>
      <x:c r="F25" s="22"/>
    </x:row>
    <x:row r="26" ht="30" customHeight="1">
      <x:c r="A26" s="13" t="str">
        <x:v>Save as .xlsx</x:v>
      </x:c>
      <x:c r="B26" s="22" t="str">
        <x:v>Upload this workbook from Financial data in Elidan.</x:v>
      </x:c>
      <x:c r="C26" s="22"/>
      <x:c r="D26" s="22"/>
      <x:c r="E26" s="22"/>
      <x:c r="F26" s="22"/>
    </x:row>
    <x:row r="27" ht="30" customHeight="1">
      <x:c r="A27" s="13" t="str">
        <x:v>Data responsibility</x:v>
      </x:c>
      <x:c r="B27" s="22" t="str">
        <x:v>Elidan's results depend on the completeness and accuracy of the information you provide.</x:v>
      </x:c>
      <x:c r="C27" s="22"/>
      <x:c r="D27" s="22"/>
      <x:c r="E27" s="22"/>
      <x:c r="F27" s="22"/>
    </x:row>
    <x:row r="29">
      <x:c r="A29" s="31" t="str">
        <x:v>Need an example? Open Worked Example. It shows how a month reconciles without mixing operating activity, borrowing, owner funding or asset purchases.</x:v>
      </x:c>
      <x:c r="B29" s="32" t="str">
        <x:v>Need an example? Open Worked Example. It shows how a month reconciles without mixing operating activity, borrowing, owner funding or asset purchases.</x:v>
      </x:c>
      <x:c r="C29" s="32" t="str">
        <x:v>Need an example? Open Worked Example. It shows how a month reconciles without mixing operating activity, borrowing, owner funding or asset purchases.</x:v>
      </x:c>
      <x:c r="D29" s="32" t="str">
        <x:v>Need an example? Open Worked Example. It shows how a month reconciles without mixing operating activity, borrowing, owner funding or asset purchases.</x:v>
      </x:c>
      <x:c r="E29" s="32" t="str">
        <x:v>Need an example? Open Worked Example. It shows how a month reconciles without mixing operating activity, borrowing, owner funding or asset purchases.</x:v>
      </x:c>
      <x:c r="F29" s="33" t="str">
        <x:v>Need an example? Open Worked Example. It shows how a month reconciles without mixing operating activity, borrowing, owner funding or asset purchases.</x:v>
      </x:c>
    </x:row>
    <x:row r="30">
      <x:c r="A30" s="34" t="str">
        <x:v>Need an example? Open Worked Example. It shows how a month reconciles without mixing operating activity, borrowing, owner funding or asset purchases.</x:v>
      </x:c>
      <x:c r="B30" s="35" t="str">
        <x:v>Need an example? Open Worked Example. It shows how a month reconciles without mixing operating activity, borrowing, owner funding or asset purchases.</x:v>
      </x:c>
      <x:c r="C30" s="35" t="str">
        <x:v>Need an example? Open Worked Example. It shows how a month reconciles without mixing operating activity, borrowing, owner funding or asset purchases.</x:v>
      </x:c>
      <x:c r="D30" s="35" t="str">
        <x:v>Need an example? Open Worked Example. It shows how a month reconciles without mixing operating activity, borrowing, owner funding or asset purchases.</x:v>
      </x:c>
      <x:c r="E30" s="35" t="str">
        <x:v>Need an example? Open Worked Example. It shows how a month reconciles without mixing operating activity, borrowing, owner funding or asset purchases.</x:v>
      </x:c>
      <x:c r="F30" s="36" t="str">
        <x:v>Need an example? Open Worked Example. It shows how a month reconciles without mixing operating activity, borrowing, owner funding or asset purchases.</x:v>
      </x:c>
    </x:row>
  </x:sheetData>
  <x:mergeCells>
    <x:mergeCell ref="A1:F2"/>
    <x:mergeCell ref="A3:F4"/>
    <x:mergeCell ref="A6:F6"/>
    <x:mergeCell ref="A14:F14"/>
    <x:mergeCell ref="B15:F15"/>
    <x:mergeCell ref="B16:F16"/>
    <x:mergeCell ref="B17:F17"/>
    <x:mergeCell ref="B18:F18"/>
    <x:mergeCell ref="B19:F19"/>
    <x:mergeCell ref="B20:F20"/>
    <x:mergeCell ref="B21:F21"/>
    <x:mergeCell ref="A23:F23"/>
    <x:mergeCell ref="B24:F24"/>
    <x:mergeCell ref="B25:F25"/>
    <x:mergeCell ref="B26:F26"/>
    <x:mergeCell ref="B27:F27"/>
    <x:mergeCell ref="A29:F30"/>
  </x:mergeCells>
  <x:dataValidations count="1">
    <x:dataValidation type="list" sqref="B12">
      <x:formula1>"Cash,Accrual,Mixed,Unknown"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A7A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8" hidden="0" customWidth="1"/>
    <x:col min="19" max="19" width="24" hidden="0" customWidth="1"/>
    <x:col min="20" max="20" width="28" hidden="0" customWidth="1"/>
  </x:cols>
  <x:sheetData>
    <x:row r="1" ht="30" customHeight="1">
      <x:c r="A1" s="3" t="str">
        <x:v>ELIDAN AI  |  Monthly cash</x:v>
      </x:c>
      <x:c r="B1" s="3" t="str">
        <x:v>ELIDAN AI  |  Monthly cash</x:v>
      </x:c>
      <x:c r="C1" s="3" t="str">
        <x:v>ELIDAN AI  |  Monthly cash</x:v>
      </x:c>
      <x:c r="D1" s="3" t="str">
        <x:v>ELIDAN AI  |  Monthly cash</x:v>
      </x:c>
      <x:c r="E1" s="3" t="str">
        <x:v>ELIDAN AI  |  Monthly cash</x:v>
      </x:c>
      <x:c r="F1" s="3" t="str">
        <x:v>ELIDAN AI  |  Monthly cash</x:v>
      </x:c>
      <x:c r="G1" s="3" t="str">
        <x:v>ELIDAN AI  |  Monthly cash</x:v>
      </x:c>
      <x:c r="H1" s="3" t="str">
        <x:v>ELIDAN AI  |  Monthly cash</x:v>
      </x:c>
      <x:c r="I1" s="3" t="str">
        <x:v>ELIDAN AI  |  Monthly cash</x:v>
      </x:c>
      <x:c r="J1" s="3" t="str">
        <x:v>ELIDAN AI  |  Monthly cash</x:v>
      </x:c>
      <x:c r="K1" s="3" t="str">
        <x:v>ELIDAN AI  |  Monthly cash</x:v>
      </x:c>
      <x:c r="L1" s="3" t="str">
        <x:v>ELIDAN AI  |  Monthly cash</x:v>
      </x:c>
      <x:c r="M1" s="3" t="str">
        <x:v>ELIDAN AI  |  Monthly cash</x:v>
      </x:c>
      <x:c r="N1" s="3" t="str">
        <x:v>ELIDAN AI  |  Monthly cash</x:v>
      </x:c>
      <x:c r="O1" s="3" t="str">
        <x:v>ELIDAN AI  |  Monthly cash</x:v>
      </x:c>
      <x:c r="P1" s="3" t="str">
        <x:v>ELIDAN AI  |  Monthly cash</x:v>
      </x:c>
      <x:c r="Q1" s="3" t="str">
        <x:v>ELIDAN AI  |  Monthly cash</x:v>
      </x:c>
      <x:c r="R1" s="3" t="str">
        <x:v>ELIDAN AI  |  Monthly cash</x:v>
      </x:c>
      <x:c r="S1" s="3" t="str">
        <x:v>ELIDAN AI  |  Monthly cash</x:v>
      </x:c>
      <x:c r="T1" s="3" t="str">
        <x:v>ELIDAN AI  |  Monthly cash</x:v>
      </x:c>
    </x:row>
    <x:row r="2" ht="30" customHeight="1">
      <x:c r="A2" s="3" t="str">
        <x:v>ELIDAN AI  |  Monthly cash</x:v>
      </x:c>
      <x:c r="B2" s="3" t="str">
        <x:v>ELIDAN AI  |  Monthly cash</x:v>
      </x:c>
      <x:c r="C2" s="3" t="str">
        <x:v>ELIDAN AI  |  Monthly cash</x:v>
      </x:c>
      <x:c r="D2" s="3" t="str">
        <x:v>ELIDAN AI  |  Monthly cash</x:v>
      </x:c>
      <x:c r="E2" s="3" t="str">
        <x:v>ELIDAN AI  |  Monthly cash</x:v>
      </x:c>
      <x:c r="F2" s="3" t="str">
        <x:v>ELIDAN AI  |  Monthly cash</x:v>
      </x:c>
      <x:c r="G2" s="3" t="str">
        <x:v>ELIDAN AI  |  Monthly cash</x:v>
      </x:c>
      <x:c r="H2" s="3" t="str">
        <x:v>ELIDAN AI  |  Monthly cash</x:v>
      </x:c>
      <x:c r="I2" s="3" t="str">
        <x:v>ELIDAN AI  |  Monthly cash</x:v>
      </x:c>
      <x:c r="J2" s="3" t="str">
        <x:v>ELIDAN AI  |  Monthly cash</x:v>
      </x:c>
      <x:c r="K2" s="3" t="str">
        <x:v>ELIDAN AI  |  Monthly cash</x:v>
      </x:c>
      <x:c r="L2" s="3" t="str">
        <x:v>ELIDAN AI  |  Monthly cash</x:v>
      </x:c>
      <x:c r="M2" s="3" t="str">
        <x:v>ELIDAN AI  |  Monthly cash</x:v>
      </x:c>
      <x:c r="N2" s="3" t="str">
        <x:v>ELIDAN AI  |  Monthly cash</x:v>
      </x:c>
      <x:c r="O2" s="3" t="str">
        <x:v>ELIDAN AI  |  Monthly cash</x:v>
      </x:c>
      <x:c r="P2" s="3" t="str">
        <x:v>ELIDAN AI  |  Monthly cash</x:v>
      </x:c>
      <x:c r="Q2" s="3" t="str">
        <x:v>ELIDAN AI  |  Monthly cash</x:v>
      </x:c>
      <x:c r="R2" s="3" t="str">
        <x:v>ELIDAN AI  |  Monthly cash</x:v>
      </x:c>
      <x:c r="S2" s="3" t="str">
        <x:v>ELIDAN AI  |  Monthly cash</x:v>
      </x:c>
      <x:c r="T2" s="3" t="str">
        <x:v>ELIDAN AI  |  Monthly cash</x:v>
      </x:c>
    </x:row>
    <x:row r="3" ht="30" customHeight="1">
      <x:c r="A3" s="7" t="str">
        <x:v>Enter one row per month. Yellow cells are inputs. Enter 0 for a confirmed zero; a blank required amount means unknown.</x:v>
      </x:c>
      <x:c r="B3" s="7" t="str">
        <x:v>Enter one row per month. Yellow cells are inputs. Enter 0 for a confirmed zero; a blank required amount means unknown.</x:v>
      </x:c>
      <x:c r="C3" s="7" t="str">
        <x:v>Enter one row per month. Yellow cells are inputs. Enter 0 for a confirmed zero; a blank required amount means unknown.</x:v>
      </x:c>
      <x:c r="D3" s="7" t="str">
        <x:v>Enter one row per month. Yellow cells are inputs. Enter 0 for a confirmed zero; a blank required amount means unknown.</x:v>
      </x:c>
      <x:c r="E3" s="7" t="str">
        <x:v>Enter one row per month. Yellow cells are inputs. Enter 0 for a confirmed zero; a blank required amount means unknown.</x:v>
      </x:c>
      <x:c r="F3" s="7" t="str">
        <x:v>Enter one row per month. Yellow cells are inputs. Enter 0 for a confirmed zero; a blank required amount means unknown.</x:v>
      </x:c>
      <x:c r="G3" s="7" t="str">
        <x:v>Enter one row per month. Yellow cells are inputs. Enter 0 for a confirmed zero; a blank required amount means unknown.</x:v>
      </x:c>
      <x:c r="H3" s="7" t="str">
        <x:v>Enter one row per month. Yellow cells are inputs. Enter 0 for a confirmed zero; a blank required amount means unknown.</x:v>
      </x:c>
      <x:c r="I3" s="7" t="str">
        <x:v>Enter one row per month. Yellow cells are inputs. Enter 0 for a confirmed zero; a blank required amount means unknown.</x:v>
      </x:c>
      <x:c r="J3" s="7" t="str">
        <x:v>Enter one row per month. Yellow cells are inputs. Enter 0 for a confirmed zero; a blank required amount means unknown.</x:v>
      </x:c>
      <x:c r="K3" s="7" t="str">
        <x:v>Enter one row per month. Yellow cells are inputs. Enter 0 for a confirmed zero; a blank required amount means unknown.</x:v>
      </x:c>
      <x:c r="L3" s="7" t="str">
        <x:v>Enter one row per month. Yellow cells are inputs. Enter 0 for a confirmed zero; a blank required amount means unknown.</x:v>
      </x:c>
      <x:c r="M3" s="7" t="str">
        <x:v>Enter one row per month. Yellow cells are inputs. Enter 0 for a confirmed zero; a blank required amount means unknown.</x:v>
      </x:c>
      <x:c r="N3" s="7" t="str">
        <x:v>Enter one row per month. Yellow cells are inputs. Enter 0 for a confirmed zero; a blank required amount means unknown.</x:v>
      </x:c>
      <x:c r="O3" s="7" t="str">
        <x:v>Enter one row per month. Yellow cells are inputs. Enter 0 for a confirmed zero; a blank required amount means unknown.</x:v>
      </x:c>
      <x:c r="P3" s="7" t="str">
        <x:v>Enter one row per month. Yellow cells are inputs. Enter 0 for a confirmed zero; a blank required amount means unknown.</x:v>
      </x:c>
      <x:c r="Q3" s="7" t="str">
        <x:v>Enter one row per month. Yellow cells are inputs. Enter 0 for a confirmed zero; a blank required amount means unknown.</x:v>
      </x:c>
      <x:c r="R3" s="7" t="str">
        <x:v>Enter one row per month. Yellow cells are inputs. Enter 0 for a confirmed zero; a blank required amount means unknown.</x:v>
      </x:c>
      <x:c r="S3" s="7" t="str">
        <x:v>Enter one row per month. Yellow cells are inputs. Enter 0 for a confirmed zero; a blank required amount means unknown.</x:v>
      </x:c>
      <x:c r="T3" s="7" t="str">
        <x:v>Enter one row per month. Yellow cells are inputs. Enter 0 for a confirmed zero; a blank required amount means unknown.</x:v>
      </x:c>
    </x:row>
    <x:row r="5">
      <x:c r="A5" s="41" t="str">
        <x:v>PERIOD</x:v>
      </x:c>
      <x:c r="B5" s="42" t="str">
        <x:v>PERIOD</x:v>
      </x:c>
      <x:c r="C5" s="43" t="str">
        <x:v>PERIOD</x:v>
      </x:c>
      <x:c r="D5" s="41" t="str">
        <x:v>CASH BALANCE AND ACTIVITY</x:v>
      </x:c>
      <x:c r="E5" s="42" t="str">
        <x:v>CASH BALANCE AND ACTIVITY</x:v>
      </x:c>
      <x:c r="F5" s="42" t="str">
        <x:v>CASH BALANCE AND ACTIVITY</x:v>
      </x:c>
      <x:c r="G5" s="42" t="str">
        <x:v>CASH BALANCE AND ACTIVITY</x:v>
      </x:c>
      <x:c r="H5" s="42" t="str">
        <x:v>CASH BALANCE AND ACTIVITY</x:v>
      </x:c>
      <x:c r="I5" s="42" t="str">
        <x:v>CASH BALANCE AND ACTIVITY</x:v>
      </x:c>
      <x:c r="J5" s="42" t="str">
        <x:v>CASH BALANCE AND ACTIVITY</x:v>
      </x:c>
      <x:c r="K5" s="42" t="str">
        <x:v>CASH BALANCE AND ACTIVITY</x:v>
      </x:c>
      <x:c r="L5" s="42" t="str">
        <x:v>CASH BALANCE AND ACTIVITY</x:v>
      </x:c>
      <x:c r="M5" s="42" t="str">
        <x:v>CASH BALANCE AND ACTIVITY</x:v>
      </x:c>
      <x:c r="N5" s="42" t="str">
        <x:v>CASH BALANCE AND ACTIVITY</x:v>
      </x:c>
      <x:c r="O5" s="42" t="str">
        <x:v>CASH BALANCE AND ACTIVITY</x:v>
      </x:c>
      <x:c r="P5" s="42" t="str">
        <x:v>CASH BALANCE AND ACTIVITY</x:v>
      </x:c>
      <x:c r="Q5" s="43" t="str">
        <x:v>CASH BALANCE AND ACTIVITY</x:v>
      </x:c>
      <x:c r="R5" s="41" t="str">
        <x:v>WORKBOOK CHECKS</x:v>
      </x:c>
      <x:c r="S5" s="43" t="str">
        <x:v>WORKBOOK CHECKS</x:v>
      </x:c>
      <x:c r="T5" s="45" t="str">
        <x:v>NOTES</x:v>
      </x:c>
    </x:row>
    <x:row r="6" ht="46" customHeight="1">
      <x:c r="A6" s="51" t="str">
        <x:v>Month</x:v>
      </x:c>
      <x:c r="B6" s="51" t="str">
        <x:v>Period status</x:v>
      </x:c>
      <x:c r="C6" s="51" t="str">
        <x:v>Cutoff date</x:v>
      </x:c>
      <x:c r="D6" s="51" t="str">
        <x:v>Opening included cash</x:v>
      </x:c>
      <x:c r="E6" s="51" t="str">
        <x:v>Cash collected from customers</x:v>
      </x:c>
      <x:c r="F6" s="51" t="str">
        <x:v>Operating cash paid</x:v>
      </x:c>
      <x:c r="G6" s="51" t="str">
        <x:v>Owner draws or distributions</x:v>
      </x:c>
      <x:c r="H6" s="51" t="str">
        <x:v>Debt principal paid</x:v>
      </x:c>
      <x:c r="I6" s="51" t="str">
        <x:v>Debt interest paid</x:v>
      </x:c>
      <x:c r="J6" s="51" t="str">
        <x:v>Asset purchases</x:v>
      </x:c>
      <x:c r="K6" s="51" t="str">
        <x:v>Asset sale proceeds</x:v>
      </x:c>
      <x:c r="L6" s="51" t="str">
        <x:v>New debt received</x:v>
      </x:c>
      <x:c r="M6" s="51" t="str">
        <x:v>Owner or equity funding</x:v>
      </x:c>
      <x:c r="N6" s="51" t="str">
        <x:v>Other cash in</x:v>
      </x:c>
      <x:c r="O6" s="51" t="str">
        <x:v>Other cash out</x:v>
      </x:c>
      <x:c r="P6" s="51" t="str">
        <x:v>Closing included cash</x:v>
      </x:c>
      <x:c r="Q6" s="51" t="str">
        <x:v>Unavailable cash</x:v>
      </x:c>
      <x:c r="R6" s="51" t="str">
        <x:v>Reconciliation difference</x:v>
      </x:c>
      <x:c r="S6" s="51" t="str">
        <x:v>Row check</x:v>
      </x:c>
      <x:c r="T6" s="51" t="str">
        <x:v>Notes</x:v>
      </x:c>
    </x:row>
    <x:row r="7">
      <x:c r="A7" s="60"/>
      <x:c r="B7" s="52"/>
      <x:c r="C7" s="62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5" t="str">
        <x:f>IF($A7="","",IF(COUNT($D7:$Q7)&lt;14,"",ROUND($P7-$D7-($E7-$F7-$G7-$H7-$I7-$J7+$K7+$L7+$M7+$N7-$O7),2)))</x:f>
      </x:c>
      <x:c r="S7" s="58" t="str">
        <x:f>IF($A7="","",IF(DAY($A7)&lt;&gt;1,"Month must start on day 1",IF(COUNTIF($A$7:$A$42,$A7)&gt;1,"Duplicate month",IF(OR($B7="",COUNT($D7:$Q7)&lt;14),"Complete required cells",IF($Q7&gt;MAX($P7,0),"Unavailable cash exceeds closing cash",IF($B7="Partial",IF($C7="","Add cutoff date",IF(OR(YEAR($C7)&lt;&gt;YEAR($A7),MONTH($C7)&lt;&gt;MONTH($A7)),"Cutoff must be in month",IF(ABS($R7)&gt;1,"Cash does not reconcile","Ready to upload"))),IF($C7&lt;&gt;"","Remove cutoff date",IF(ABS($R7)&gt;1,"Cash does not reconcile","Ready to upload"))))))))</x:f>
      </x:c>
      <x:c r="T7" s="54"/>
    </x:row>
    <x:row r="8">
      <x:c r="A8" s="61"/>
      <x:c r="B8" s="53"/>
      <x:c r="C8" s="63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7" t="str">
        <x:f>IF($A8="","",IF(COUNT($D8:$Q8)&lt;14,"",ROUND($P8-$D8-($E8-$F8-$G8-$H8-$I8-$J8+$K8+$L8+$M8+$N8-$O8),2)))</x:f>
      </x:c>
      <x:c r="S8" s="59" t="str">
        <x:f>IF($A8="","",IF(DAY($A8)&lt;&gt;1,"Month must start on day 1",IF(COUNTIF($A$7:$A$42,$A8)&gt;1,"Duplicate month",IF(OR($B8="",COUNT($D8:$Q8)&lt;14),"Complete required cells",IF($Q8&gt;MAX($P8,0),"Unavailable cash exceeds closing cash",IF($B8="Partial",IF($C8="","Add cutoff date",IF(OR(YEAR($C8)&lt;&gt;YEAR($A8),MONTH($C8)&lt;&gt;MONTH($A8)),"Cutoff must be in month",IF(ABS($R8)&gt;1,"Cash does not reconcile","Ready to upload"))),IF($C8&lt;&gt;"","Remove cutoff date",IF(ABS($R8)&gt;1,"Cash does not reconcile","Ready to upload"))))))))</x:f>
      </x:c>
      <x:c r="T8" s="55"/>
    </x:row>
    <x:row r="9">
      <x:c r="A9" s="61"/>
      <x:c r="B9" s="53"/>
      <x:c r="C9" s="63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7" t="str">
        <x:f>IF($A9="","",IF(COUNT($D9:$Q9)&lt;14,"",ROUND($P9-$D9-($E9-$F9-$G9-$H9-$I9-$J9+$K9+$L9+$M9+$N9-$O9),2)))</x:f>
      </x:c>
      <x:c r="S9" s="59" t="str">
        <x:f>IF($A9="","",IF(DAY($A9)&lt;&gt;1,"Month must start on day 1",IF(COUNTIF($A$7:$A$42,$A9)&gt;1,"Duplicate month",IF(OR($B9="",COUNT($D9:$Q9)&lt;14),"Complete required cells",IF($Q9&gt;MAX($P9,0),"Unavailable cash exceeds closing cash",IF($B9="Partial",IF($C9="","Add cutoff date",IF(OR(YEAR($C9)&lt;&gt;YEAR($A9),MONTH($C9)&lt;&gt;MONTH($A9)),"Cutoff must be in month",IF(ABS($R9)&gt;1,"Cash does not reconcile","Ready to upload"))),IF($C9&lt;&gt;"","Remove cutoff date",IF(ABS($R9)&gt;1,"Cash does not reconcile","Ready to upload"))))))))</x:f>
      </x:c>
      <x:c r="T9" s="55"/>
    </x:row>
    <x:row r="10">
      <x:c r="A10" s="61"/>
      <x:c r="B10" s="53"/>
      <x:c r="C10" s="63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7" t="str">
        <x:f>IF($A10="","",IF(COUNT($D10:$Q10)&lt;14,"",ROUND($P10-$D10-($E10-$F10-$G10-$H10-$I10-$J10+$K10+$L10+$M10+$N10-$O10),2)))</x:f>
      </x:c>
      <x:c r="S10" s="59" t="str">
        <x:f>IF($A10="","",IF(DAY($A10)&lt;&gt;1,"Month must start on day 1",IF(COUNTIF($A$7:$A$42,$A10)&gt;1,"Duplicate month",IF(OR($B10="",COUNT($D10:$Q10)&lt;14),"Complete required cells",IF($Q10&gt;MAX($P10,0),"Unavailable cash exceeds closing cash",IF($B10="Partial",IF($C10="","Add cutoff date",IF(OR(YEAR($C10)&lt;&gt;YEAR($A10),MONTH($C10)&lt;&gt;MONTH($A10)),"Cutoff must be in month",IF(ABS($R10)&gt;1,"Cash does not reconcile","Ready to upload"))),IF($C10&lt;&gt;"","Remove cutoff date",IF(ABS($R10)&gt;1,"Cash does not reconcile","Ready to upload"))))))))</x:f>
      </x:c>
      <x:c r="T10" s="55"/>
    </x:row>
    <x:row r="11">
      <x:c r="A11" s="61"/>
      <x:c r="B11" s="53"/>
      <x:c r="C11" s="63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7" t="str">
        <x:f>IF($A11="","",IF(COUNT($D11:$Q11)&lt;14,"",ROUND($P11-$D11-($E11-$F11-$G11-$H11-$I11-$J11+$K11+$L11+$M11+$N11-$O11),2)))</x:f>
      </x:c>
      <x:c r="S11" s="59" t="str">
        <x:f>IF($A11="","",IF(DAY($A11)&lt;&gt;1,"Month must start on day 1",IF(COUNTIF($A$7:$A$42,$A11)&gt;1,"Duplicate month",IF(OR($B11="",COUNT($D11:$Q11)&lt;14),"Complete required cells",IF($Q11&gt;MAX($P11,0),"Unavailable cash exceeds closing cash",IF($B11="Partial",IF($C11="","Add cutoff date",IF(OR(YEAR($C11)&lt;&gt;YEAR($A11),MONTH($C11)&lt;&gt;MONTH($A11)),"Cutoff must be in month",IF(ABS($R11)&gt;1,"Cash does not reconcile","Ready to upload"))),IF($C11&lt;&gt;"","Remove cutoff date",IF(ABS($R11)&gt;1,"Cash does not reconcile","Ready to upload"))))))))</x:f>
      </x:c>
      <x:c r="T11" s="55"/>
    </x:row>
    <x:row r="12">
      <x:c r="A12" s="61"/>
      <x:c r="B12" s="53"/>
      <x:c r="C12" s="63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7" t="str">
        <x:f>IF($A12="","",IF(COUNT($D12:$Q12)&lt;14,"",ROUND($P12-$D12-($E12-$F12-$G12-$H12-$I12-$J12+$K12+$L12+$M12+$N12-$O12),2)))</x:f>
      </x:c>
      <x:c r="S12" s="59" t="str">
        <x:f>IF($A12="","",IF(DAY($A12)&lt;&gt;1,"Month must start on day 1",IF(COUNTIF($A$7:$A$42,$A12)&gt;1,"Duplicate month",IF(OR($B12="",COUNT($D12:$Q12)&lt;14),"Complete required cells",IF($Q12&gt;MAX($P12,0),"Unavailable cash exceeds closing cash",IF($B12="Partial",IF($C12="","Add cutoff date",IF(OR(YEAR($C12)&lt;&gt;YEAR($A12),MONTH($C12)&lt;&gt;MONTH($A12)),"Cutoff must be in month",IF(ABS($R12)&gt;1,"Cash does not reconcile","Ready to upload"))),IF($C12&lt;&gt;"","Remove cutoff date",IF(ABS($R12)&gt;1,"Cash does not reconcile","Ready to upload"))))))))</x:f>
      </x:c>
      <x:c r="T12" s="55"/>
    </x:row>
    <x:row r="13">
      <x:c r="A13" s="61"/>
      <x:c r="B13" s="53"/>
      <x:c r="C13" s="63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7" t="str">
        <x:f>IF($A13="","",IF(COUNT($D13:$Q13)&lt;14,"",ROUND($P13-$D13-($E13-$F13-$G13-$H13-$I13-$J13+$K13+$L13+$M13+$N13-$O13),2)))</x:f>
      </x:c>
      <x:c r="S13" s="59" t="str">
        <x:f>IF($A13="","",IF(DAY($A13)&lt;&gt;1,"Month must start on day 1",IF(COUNTIF($A$7:$A$42,$A13)&gt;1,"Duplicate month",IF(OR($B13="",COUNT($D13:$Q13)&lt;14),"Complete required cells",IF($Q13&gt;MAX($P13,0),"Unavailable cash exceeds closing cash",IF($B13="Partial",IF($C13="","Add cutoff date",IF(OR(YEAR($C13)&lt;&gt;YEAR($A13),MONTH($C13)&lt;&gt;MONTH($A13)),"Cutoff must be in month",IF(ABS($R13)&gt;1,"Cash does not reconcile","Ready to upload"))),IF($C13&lt;&gt;"","Remove cutoff date",IF(ABS($R13)&gt;1,"Cash does not reconcile","Ready to upload"))))))))</x:f>
      </x:c>
      <x:c r="T13" s="55"/>
    </x:row>
    <x:row r="14">
      <x:c r="A14" s="61"/>
      <x:c r="B14" s="53"/>
      <x:c r="C14" s="63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7" t="str">
        <x:f>IF($A14="","",IF(COUNT($D14:$Q14)&lt;14,"",ROUND($P14-$D14-($E14-$F14-$G14-$H14-$I14-$J14+$K14+$L14+$M14+$N14-$O14),2)))</x:f>
      </x:c>
      <x:c r="S14" s="59" t="str">
        <x:f>IF($A14="","",IF(DAY($A14)&lt;&gt;1,"Month must start on day 1",IF(COUNTIF($A$7:$A$42,$A14)&gt;1,"Duplicate month",IF(OR($B14="",COUNT($D14:$Q14)&lt;14),"Complete required cells",IF($Q14&gt;MAX($P14,0),"Unavailable cash exceeds closing cash",IF($B14="Partial",IF($C14="","Add cutoff date",IF(OR(YEAR($C14)&lt;&gt;YEAR($A14),MONTH($C14)&lt;&gt;MONTH($A14)),"Cutoff must be in month",IF(ABS($R14)&gt;1,"Cash does not reconcile","Ready to upload"))),IF($C14&lt;&gt;"","Remove cutoff date",IF(ABS($R14)&gt;1,"Cash does not reconcile","Ready to upload"))))))))</x:f>
      </x:c>
      <x:c r="T14" s="55"/>
    </x:row>
    <x:row r="15">
      <x:c r="A15" s="61"/>
      <x:c r="B15" s="53"/>
      <x:c r="C15" s="63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7" t="str">
        <x:f>IF($A15="","",IF(COUNT($D15:$Q15)&lt;14,"",ROUND($P15-$D15-($E15-$F15-$G15-$H15-$I15-$J15+$K15+$L15+$M15+$N15-$O15),2)))</x:f>
      </x:c>
      <x:c r="S15" s="59" t="str">
        <x:f>IF($A15="","",IF(DAY($A15)&lt;&gt;1,"Month must start on day 1",IF(COUNTIF($A$7:$A$42,$A15)&gt;1,"Duplicate month",IF(OR($B15="",COUNT($D15:$Q15)&lt;14),"Complete required cells",IF($Q15&gt;MAX($P15,0),"Unavailable cash exceeds closing cash",IF($B15="Partial",IF($C15="","Add cutoff date",IF(OR(YEAR($C15)&lt;&gt;YEAR($A15),MONTH($C15)&lt;&gt;MONTH($A15)),"Cutoff must be in month",IF(ABS($R15)&gt;1,"Cash does not reconcile","Ready to upload"))),IF($C15&lt;&gt;"","Remove cutoff date",IF(ABS($R15)&gt;1,"Cash does not reconcile","Ready to upload"))))))))</x:f>
      </x:c>
      <x:c r="T15" s="55"/>
    </x:row>
    <x:row r="16">
      <x:c r="A16" s="61"/>
      <x:c r="B16" s="53"/>
      <x:c r="C16" s="63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7" t="str">
        <x:f>IF($A16="","",IF(COUNT($D16:$Q16)&lt;14,"",ROUND($P16-$D16-($E16-$F16-$G16-$H16-$I16-$J16+$K16+$L16+$M16+$N16-$O16),2)))</x:f>
      </x:c>
      <x:c r="S16" s="59" t="str">
        <x:f>IF($A16="","",IF(DAY($A16)&lt;&gt;1,"Month must start on day 1",IF(COUNTIF($A$7:$A$42,$A16)&gt;1,"Duplicate month",IF(OR($B16="",COUNT($D16:$Q16)&lt;14),"Complete required cells",IF($Q16&gt;MAX($P16,0),"Unavailable cash exceeds closing cash",IF($B16="Partial",IF($C16="","Add cutoff date",IF(OR(YEAR($C16)&lt;&gt;YEAR($A16),MONTH($C16)&lt;&gt;MONTH($A16)),"Cutoff must be in month",IF(ABS($R16)&gt;1,"Cash does not reconcile","Ready to upload"))),IF($C16&lt;&gt;"","Remove cutoff date",IF(ABS($R16)&gt;1,"Cash does not reconcile","Ready to upload"))))))))</x:f>
      </x:c>
      <x:c r="T16" s="55"/>
    </x:row>
    <x:row r="17">
      <x:c r="A17" s="61"/>
      <x:c r="B17" s="53"/>
      <x:c r="C17" s="63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7" t="str">
        <x:f>IF($A17="","",IF(COUNT($D17:$Q17)&lt;14,"",ROUND($P17-$D17-($E17-$F17-$G17-$H17-$I17-$J17+$K17+$L17+$M17+$N17-$O17),2)))</x:f>
      </x:c>
      <x:c r="S17" s="59" t="str">
        <x:f>IF($A17="","",IF(DAY($A17)&lt;&gt;1,"Month must start on day 1",IF(COUNTIF($A$7:$A$42,$A17)&gt;1,"Duplicate month",IF(OR($B17="",COUNT($D17:$Q17)&lt;14),"Complete required cells",IF($Q17&gt;MAX($P17,0),"Unavailable cash exceeds closing cash",IF($B17="Partial",IF($C17="","Add cutoff date",IF(OR(YEAR($C17)&lt;&gt;YEAR($A17),MONTH($C17)&lt;&gt;MONTH($A17)),"Cutoff must be in month",IF(ABS($R17)&gt;1,"Cash does not reconcile","Ready to upload"))),IF($C17&lt;&gt;"","Remove cutoff date",IF(ABS($R17)&gt;1,"Cash does not reconcile","Ready to upload"))))))))</x:f>
      </x:c>
      <x:c r="T17" s="55"/>
    </x:row>
    <x:row r="18">
      <x:c r="A18" s="61"/>
      <x:c r="B18" s="53"/>
      <x:c r="C18" s="63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7" t="str">
        <x:f>IF($A18="","",IF(COUNT($D18:$Q18)&lt;14,"",ROUND($P18-$D18-($E18-$F18-$G18-$H18-$I18-$J18+$K18+$L18+$M18+$N18-$O18),2)))</x:f>
      </x:c>
      <x:c r="S18" s="59" t="str">
        <x:f>IF($A18="","",IF(DAY($A18)&lt;&gt;1,"Month must start on day 1",IF(COUNTIF($A$7:$A$42,$A18)&gt;1,"Duplicate month",IF(OR($B18="",COUNT($D18:$Q18)&lt;14),"Complete required cells",IF($Q18&gt;MAX($P18,0),"Unavailable cash exceeds closing cash",IF($B18="Partial",IF($C18="","Add cutoff date",IF(OR(YEAR($C18)&lt;&gt;YEAR($A18),MONTH($C18)&lt;&gt;MONTH($A18)),"Cutoff must be in month",IF(ABS($R18)&gt;1,"Cash does not reconcile","Ready to upload"))),IF($C18&lt;&gt;"","Remove cutoff date",IF(ABS($R18)&gt;1,"Cash does not reconcile","Ready to upload"))))))))</x:f>
      </x:c>
      <x:c r="T18" s="55"/>
    </x:row>
    <x:row r="19">
      <x:c r="A19" s="61"/>
      <x:c r="B19" s="53"/>
      <x:c r="C19" s="63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7" t="str">
        <x:f>IF($A19="","",IF(COUNT($D19:$Q19)&lt;14,"",ROUND($P19-$D19-($E19-$F19-$G19-$H19-$I19-$J19+$K19+$L19+$M19+$N19-$O19),2)))</x:f>
      </x:c>
      <x:c r="S19" s="59" t="str">
        <x:f>IF($A19="","",IF(DAY($A19)&lt;&gt;1,"Month must start on day 1",IF(COUNTIF($A$7:$A$42,$A19)&gt;1,"Duplicate month",IF(OR($B19="",COUNT($D19:$Q19)&lt;14),"Complete required cells",IF($Q19&gt;MAX($P19,0),"Unavailable cash exceeds closing cash",IF($B19="Partial",IF($C19="","Add cutoff date",IF(OR(YEAR($C19)&lt;&gt;YEAR($A19),MONTH($C19)&lt;&gt;MONTH($A19)),"Cutoff must be in month",IF(ABS($R19)&gt;1,"Cash does not reconcile","Ready to upload"))),IF($C19&lt;&gt;"","Remove cutoff date",IF(ABS($R19)&gt;1,"Cash does not reconcile","Ready to upload"))))))))</x:f>
      </x:c>
      <x:c r="T19" s="55"/>
    </x:row>
    <x:row r="20">
      <x:c r="A20" s="61"/>
      <x:c r="B20" s="53"/>
      <x:c r="C20" s="63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7" t="str">
        <x:f>IF($A20="","",IF(COUNT($D20:$Q20)&lt;14,"",ROUND($P20-$D20-($E20-$F20-$G20-$H20-$I20-$J20+$K20+$L20+$M20+$N20-$O20),2)))</x:f>
      </x:c>
      <x:c r="S20" s="59" t="str">
        <x:f>IF($A20="","",IF(DAY($A20)&lt;&gt;1,"Month must start on day 1",IF(COUNTIF($A$7:$A$42,$A20)&gt;1,"Duplicate month",IF(OR($B20="",COUNT($D20:$Q20)&lt;14),"Complete required cells",IF($Q20&gt;MAX($P20,0),"Unavailable cash exceeds closing cash",IF($B20="Partial",IF($C20="","Add cutoff date",IF(OR(YEAR($C20)&lt;&gt;YEAR($A20),MONTH($C20)&lt;&gt;MONTH($A20)),"Cutoff must be in month",IF(ABS($R20)&gt;1,"Cash does not reconcile","Ready to upload"))),IF($C20&lt;&gt;"","Remove cutoff date",IF(ABS($R20)&gt;1,"Cash does not reconcile","Ready to upload"))))))))</x:f>
      </x:c>
      <x:c r="T20" s="55"/>
    </x:row>
    <x:row r="21">
      <x:c r="A21" s="61"/>
      <x:c r="B21" s="53"/>
      <x:c r="C21" s="63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7" t="str">
        <x:f>IF($A21="","",IF(COUNT($D21:$Q21)&lt;14,"",ROUND($P21-$D21-($E21-$F21-$G21-$H21-$I21-$J21+$K21+$L21+$M21+$N21-$O21),2)))</x:f>
      </x:c>
      <x:c r="S21" s="59" t="str">
        <x:f>IF($A21="","",IF(DAY($A21)&lt;&gt;1,"Month must start on day 1",IF(COUNTIF($A$7:$A$42,$A21)&gt;1,"Duplicate month",IF(OR($B21="",COUNT($D21:$Q21)&lt;14),"Complete required cells",IF($Q21&gt;MAX($P21,0),"Unavailable cash exceeds closing cash",IF($B21="Partial",IF($C21="","Add cutoff date",IF(OR(YEAR($C21)&lt;&gt;YEAR($A21),MONTH($C21)&lt;&gt;MONTH($A21)),"Cutoff must be in month",IF(ABS($R21)&gt;1,"Cash does not reconcile","Ready to upload"))),IF($C21&lt;&gt;"","Remove cutoff date",IF(ABS($R21)&gt;1,"Cash does not reconcile","Ready to upload"))))))))</x:f>
      </x:c>
      <x:c r="T21" s="55"/>
    </x:row>
    <x:row r="22">
      <x:c r="A22" s="61"/>
      <x:c r="B22" s="53"/>
      <x:c r="C22" s="63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7" t="str">
        <x:f>IF($A22="","",IF(COUNT($D22:$Q22)&lt;14,"",ROUND($P22-$D22-($E22-$F22-$G22-$H22-$I22-$J22+$K22+$L22+$M22+$N22-$O22),2)))</x:f>
      </x:c>
      <x:c r="S22" s="59" t="str">
        <x:f>IF($A22="","",IF(DAY($A22)&lt;&gt;1,"Month must start on day 1",IF(COUNTIF($A$7:$A$42,$A22)&gt;1,"Duplicate month",IF(OR($B22="",COUNT($D22:$Q22)&lt;14),"Complete required cells",IF($Q22&gt;MAX($P22,0),"Unavailable cash exceeds closing cash",IF($B22="Partial",IF($C22="","Add cutoff date",IF(OR(YEAR($C22)&lt;&gt;YEAR($A22),MONTH($C22)&lt;&gt;MONTH($A22)),"Cutoff must be in month",IF(ABS($R22)&gt;1,"Cash does not reconcile","Ready to upload"))),IF($C22&lt;&gt;"","Remove cutoff date",IF(ABS($R22)&gt;1,"Cash does not reconcile","Ready to upload"))))))))</x:f>
      </x:c>
      <x:c r="T22" s="55"/>
    </x:row>
    <x:row r="23">
      <x:c r="A23" s="61"/>
      <x:c r="B23" s="53"/>
      <x:c r="C23" s="63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7" t="str">
        <x:f>IF($A23="","",IF(COUNT($D23:$Q23)&lt;14,"",ROUND($P23-$D23-($E23-$F23-$G23-$H23-$I23-$J23+$K23+$L23+$M23+$N23-$O23),2)))</x:f>
      </x:c>
      <x:c r="S23" s="59" t="str">
        <x:f>IF($A23="","",IF(DAY($A23)&lt;&gt;1,"Month must start on day 1",IF(COUNTIF($A$7:$A$42,$A23)&gt;1,"Duplicate month",IF(OR($B23="",COUNT($D23:$Q23)&lt;14),"Complete required cells",IF($Q23&gt;MAX($P23,0),"Unavailable cash exceeds closing cash",IF($B23="Partial",IF($C23="","Add cutoff date",IF(OR(YEAR($C23)&lt;&gt;YEAR($A23),MONTH($C23)&lt;&gt;MONTH($A23)),"Cutoff must be in month",IF(ABS($R23)&gt;1,"Cash does not reconcile","Ready to upload"))),IF($C23&lt;&gt;"","Remove cutoff date",IF(ABS($R23)&gt;1,"Cash does not reconcile","Ready to upload"))))))))</x:f>
      </x:c>
      <x:c r="T23" s="55"/>
    </x:row>
    <x:row r="24">
      <x:c r="A24" s="61"/>
      <x:c r="B24" s="53"/>
      <x:c r="C24" s="63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7" t="str">
        <x:f>IF($A24="","",IF(COUNT($D24:$Q24)&lt;14,"",ROUND($P24-$D24-($E24-$F24-$G24-$H24-$I24-$J24+$K24+$L24+$M24+$N24-$O24),2)))</x:f>
      </x:c>
      <x:c r="S24" s="59" t="str">
        <x:f>IF($A24="","",IF(DAY($A24)&lt;&gt;1,"Month must start on day 1",IF(COUNTIF($A$7:$A$42,$A24)&gt;1,"Duplicate month",IF(OR($B24="",COUNT($D24:$Q24)&lt;14),"Complete required cells",IF($Q24&gt;MAX($P24,0),"Unavailable cash exceeds closing cash",IF($B24="Partial",IF($C24="","Add cutoff date",IF(OR(YEAR($C24)&lt;&gt;YEAR($A24),MONTH($C24)&lt;&gt;MONTH($A24)),"Cutoff must be in month",IF(ABS($R24)&gt;1,"Cash does not reconcile","Ready to upload"))),IF($C24&lt;&gt;"","Remove cutoff date",IF(ABS($R24)&gt;1,"Cash does not reconcile","Ready to upload"))))))))</x:f>
      </x:c>
      <x:c r="T24" s="55"/>
    </x:row>
    <x:row r="25">
      <x:c r="A25" s="61"/>
      <x:c r="B25" s="53"/>
      <x:c r="C25" s="63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7" t="str">
        <x:f>IF($A25="","",IF(COUNT($D25:$Q25)&lt;14,"",ROUND($P25-$D25-($E25-$F25-$G25-$H25-$I25-$J25+$K25+$L25+$M25+$N25-$O25),2)))</x:f>
      </x:c>
      <x:c r="S25" s="59" t="str">
        <x:f>IF($A25="","",IF(DAY($A25)&lt;&gt;1,"Month must start on day 1",IF(COUNTIF($A$7:$A$42,$A25)&gt;1,"Duplicate month",IF(OR($B25="",COUNT($D25:$Q25)&lt;14),"Complete required cells",IF($Q25&gt;MAX($P25,0),"Unavailable cash exceeds closing cash",IF($B25="Partial",IF($C25="","Add cutoff date",IF(OR(YEAR($C25)&lt;&gt;YEAR($A25),MONTH($C25)&lt;&gt;MONTH($A25)),"Cutoff must be in month",IF(ABS($R25)&gt;1,"Cash does not reconcile","Ready to upload"))),IF($C25&lt;&gt;"","Remove cutoff date",IF(ABS($R25)&gt;1,"Cash does not reconcile","Ready to upload"))))))))</x:f>
      </x:c>
      <x:c r="T25" s="55"/>
    </x:row>
    <x:row r="26">
      <x:c r="A26" s="61"/>
      <x:c r="B26" s="53"/>
      <x:c r="C26" s="63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7" t="str">
        <x:f>IF($A26="","",IF(COUNT($D26:$Q26)&lt;14,"",ROUND($P26-$D26-($E26-$F26-$G26-$H26-$I26-$J26+$K26+$L26+$M26+$N26-$O26),2)))</x:f>
      </x:c>
      <x:c r="S26" s="59" t="str">
        <x:f>IF($A26="","",IF(DAY($A26)&lt;&gt;1,"Month must start on day 1",IF(COUNTIF($A$7:$A$42,$A26)&gt;1,"Duplicate month",IF(OR($B26="",COUNT($D26:$Q26)&lt;14),"Complete required cells",IF($Q26&gt;MAX($P26,0),"Unavailable cash exceeds closing cash",IF($B26="Partial",IF($C26="","Add cutoff date",IF(OR(YEAR($C26)&lt;&gt;YEAR($A26),MONTH($C26)&lt;&gt;MONTH($A26)),"Cutoff must be in month",IF(ABS($R26)&gt;1,"Cash does not reconcile","Ready to upload"))),IF($C26&lt;&gt;"","Remove cutoff date",IF(ABS($R26)&gt;1,"Cash does not reconcile","Ready to upload"))))))))</x:f>
      </x:c>
      <x:c r="T26" s="55"/>
    </x:row>
    <x:row r="27">
      <x:c r="A27" s="61"/>
      <x:c r="B27" s="53"/>
      <x:c r="C27" s="63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7" t="str">
        <x:f>IF($A27="","",IF(COUNT($D27:$Q27)&lt;14,"",ROUND($P27-$D27-($E27-$F27-$G27-$H27-$I27-$J27+$K27+$L27+$M27+$N27-$O27),2)))</x:f>
      </x:c>
      <x:c r="S27" s="59" t="str">
        <x:f>IF($A27="","",IF(DAY($A27)&lt;&gt;1,"Month must start on day 1",IF(COUNTIF($A$7:$A$42,$A27)&gt;1,"Duplicate month",IF(OR($B27="",COUNT($D27:$Q27)&lt;14),"Complete required cells",IF($Q27&gt;MAX($P27,0),"Unavailable cash exceeds closing cash",IF($B27="Partial",IF($C27="","Add cutoff date",IF(OR(YEAR($C27)&lt;&gt;YEAR($A27),MONTH($C27)&lt;&gt;MONTH($A27)),"Cutoff must be in month",IF(ABS($R27)&gt;1,"Cash does not reconcile","Ready to upload"))),IF($C27&lt;&gt;"","Remove cutoff date",IF(ABS($R27)&gt;1,"Cash does not reconcile","Ready to upload"))))))))</x:f>
      </x:c>
      <x:c r="T27" s="55"/>
    </x:row>
    <x:row r="28">
      <x:c r="A28" s="61"/>
      <x:c r="B28" s="53"/>
      <x:c r="C28" s="63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7" t="str">
        <x:f>IF($A28="","",IF(COUNT($D28:$Q28)&lt;14,"",ROUND($P28-$D28-($E28-$F28-$G28-$H28-$I28-$J28+$K28+$L28+$M28+$N28-$O28),2)))</x:f>
      </x:c>
      <x:c r="S28" s="59" t="str">
        <x:f>IF($A28="","",IF(DAY($A28)&lt;&gt;1,"Month must start on day 1",IF(COUNTIF($A$7:$A$42,$A28)&gt;1,"Duplicate month",IF(OR($B28="",COUNT($D28:$Q28)&lt;14),"Complete required cells",IF($Q28&gt;MAX($P28,0),"Unavailable cash exceeds closing cash",IF($B28="Partial",IF($C28="","Add cutoff date",IF(OR(YEAR($C28)&lt;&gt;YEAR($A28),MONTH($C28)&lt;&gt;MONTH($A28)),"Cutoff must be in month",IF(ABS($R28)&gt;1,"Cash does not reconcile","Ready to upload"))),IF($C28&lt;&gt;"","Remove cutoff date",IF(ABS($R28)&gt;1,"Cash does not reconcile","Ready to upload"))))))))</x:f>
      </x:c>
      <x:c r="T28" s="55"/>
    </x:row>
    <x:row r="29">
      <x:c r="A29" s="61"/>
      <x:c r="B29" s="53"/>
      <x:c r="C29" s="63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7" t="str">
        <x:f>IF($A29="","",IF(COUNT($D29:$Q29)&lt;14,"",ROUND($P29-$D29-($E29-$F29-$G29-$H29-$I29-$J29+$K29+$L29+$M29+$N29-$O29),2)))</x:f>
      </x:c>
      <x:c r="S29" s="59" t="str">
        <x:f>IF($A29="","",IF(DAY($A29)&lt;&gt;1,"Month must start on day 1",IF(COUNTIF($A$7:$A$42,$A29)&gt;1,"Duplicate month",IF(OR($B29="",COUNT($D29:$Q29)&lt;14),"Complete required cells",IF($Q29&gt;MAX($P29,0),"Unavailable cash exceeds closing cash",IF($B29="Partial",IF($C29="","Add cutoff date",IF(OR(YEAR($C29)&lt;&gt;YEAR($A29),MONTH($C29)&lt;&gt;MONTH($A29)),"Cutoff must be in month",IF(ABS($R29)&gt;1,"Cash does not reconcile","Ready to upload"))),IF($C29&lt;&gt;"","Remove cutoff date",IF(ABS($R29)&gt;1,"Cash does not reconcile","Ready to upload"))))))))</x:f>
      </x:c>
      <x:c r="T29" s="55"/>
    </x:row>
    <x:row r="30">
      <x:c r="A30" s="61"/>
      <x:c r="B30" s="53"/>
      <x:c r="C30" s="63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7" t="str">
        <x:f>IF($A30="","",IF(COUNT($D30:$Q30)&lt;14,"",ROUND($P30-$D30-($E30-$F30-$G30-$H30-$I30-$J30+$K30+$L30+$M30+$N30-$O30),2)))</x:f>
      </x:c>
      <x:c r="S30" s="59" t="str">
        <x:f>IF($A30="","",IF(DAY($A30)&lt;&gt;1,"Month must start on day 1",IF(COUNTIF($A$7:$A$42,$A30)&gt;1,"Duplicate month",IF(OR($B30="",COUNT($D30:$Q30)&lt;14),"Complete required cells",IF($Q30&gt;MAX($P30,0),"Unavailable cash exceeds closing cash",IF($B30="Partial",IF($C30="","Add cutoff date",IF(OR(YEAR($C30)&lt;&gt;YEAR($A30),MONTH($C30)&lt;&gt;MONTH($A30)),"Cutoff must be in month",IF(ABS($R30)&gt;1,"Cash does not reconcile","Ready to upload"))),IF($C30&lt;&gt;"","Remove cutoff date",IF(ABS($R30)&gt;1,"Cash does not reconcile","Ready to upload"))))))))</x:f>
      </x:c>
      <x:c r="T30" s="55"/>
    </x:row>
    <x:row r="31">
      <x:c r="A31" s="61"/>
      <x:c r="B31" s="53"/>
      <x:c r="C31" s="63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7" t="str">
        <x:f>IF($A31="","",IF(COUNT($D31:$Q31)&lt;14,"",ROUND($P31-$D31-($E31-$F31-$G31-$H31-$I31-$J31+$K31+$L31+$M31+$N31-$O31),2)))</x:f>
      </x:c>
      <x:c r="S31" s="59" t="str">
        <x:f>IF($A31="","",IF(DAY($A31)&lt;&gt;1,"Month must start on day 1",IF(COUNTIF($A$7:$A$42,$A31)&gt;1,"Duplicate month",IF(OR($B31="",COUNT($D31:$Q31)&lt;14),"Complete required cells",IF($Q31&gt;MAX($P31,0),"Unavailable cash exceeds closing cash",IF($B31="Partial",IF($C31="","Add cutoff date",IF(OR(YEAR($C31)&lt;&gt;YEAR($A31),MONTH($C31)&lt;&gt;MONTH($A31)),"Cutoff must be in month",IF(ABS($R31)&gt;1,"Cash does not reconcile","Ready to upload"))),IF($C31&lt;&gt;"","Remove cutoff date",IF(ABS($R31)&gt;1,"Cash does not reconcile","Ready to upload"))))))))</x:f>
      </x:c>
      <x:c r="T31" s="55"/>
    </x:row>
    <x:row r="32">
      <x:c r="A32" s="61"/>
      <x:c r="B32" s="53"/>
      <x:c r="C32" s="63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7" t="str">
        <x:f>IF($A32="","",IF(COUNT($D32:$Q32)&lt;14,"",ROUND($P32-$D32-($E32-$F32-$G32-$H32-$I32-$J32+$K32+$L32+$M32+$N32-$O32),2)))</x:f>
      </x:c>
      <x:c r="S32" s="59" t="str">
        <x:f>IF($A32="","",IF(DAY($A32)&lt;&gt;1,"Month must start on day 1",IF(COUNTIF($A$7:$A$42,$A32)&gt;1,"Duplicate month",IF(OR($B32="",COUNT($D32:$Q32)&lt;14),"Complete required cells",IF($Q32&gt;MAX($P32,0),"Unavailable cash exceeds closing cash",IF($B32="Partial",IF($C32="","Add cutoff date",IF(OR(YEAR($C32)&lt;&gt;YEAR($A32),MONTH($C32)&lt;&gt;MONTH($A32)),"Cutoff must be in month",IF(ABS($R32)&gt;1,"Cash does not reconcile","Ready to upload"))),IF($C32&lt;&gt;"","Remove cutoff date",IF(ABS($R32)&gt;1,"Cash does not reconcile","Ready to upload"))))))))</x:f>
      </x:c>
      <x:c r="T32" s="55"/>
    </x:row>
    <x:row r="33">
      <x:c r="A33" s="61"/>
      <x:c r="B33" s="53"/>
      <x:c r="C33" s="63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7" t="str">
        <x:f>IF($A33="","",IF(COUNT($D33:$Q33)&lt;14,"",ROUND($P33-$D33-($E33-$F33-$G33-$H33-$I33-$J33+$K33+$L33+$M33+$N33-$O33),2)))</x:f>
      </x:c>
      <x:c r="S33" s="59" t="str">
        <x:f>IF($A33="","",IF(DAY($A33)&lt;&gt;1,"Month must start on day 1",IF(COUNTIF($A$7:$A$42,$A33)&gt;1,"Duplicate month",IF(OR($B33="",COUNT($D33:$Q33)&lt;14),"Complete required cells",IF($Q33&gt;MAX($P33,0),"Unavailable cash exceeds closing cash",IF($B33="Partial",IF($C33="","Add cutoff date",IF(OR(YEAR($C33)&lt;&gt;YEAR($A33),MONTH($C33)&lt;&gt;MONTH($A33)),"Cutoff must be in month",IF(ABS($R33)&gt;1,"Cash does not reconcile","Ready to upload"))),IF($C33&lt;&gt;"","Remove cutoff date",IF(ABS($R33)&gt;1,"Cash does not reconcile","Ready to upload"))))))))</x:f>
      </x:c>
      <x:c r="T33" s="55"/>
    </x:row>
    <x:row r="34">
      <x:c r="A34" s="61"/>
      <x:c r="B34" s="53"/>
      <x:c r="C34" s="63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7" t="str">
        <x:f>IF($A34="","",IF(COUNT($D34:$Q34)&lt;14,"",ROUND($P34-$D34-($E34-$F34-$G34-$H34-$I34-$J34+$K34+$L34+$M34+$N34-$O34),2)))</x:f>
      </x:c>
      <x:c r="S34" s="59" t="str">
        <x:f>IF($A34="","",IF(DAY($A34)&lt;&gt;1,"Month must start on day 1",IF(COUNTIF($A$7:$A$42,$A34)&gt;1,"Duplicate month",IF(OR($B34="",COUNT($D34:$Q34)&lt;14),"Complete required cells",IF($Q34&gt;MAX($P34,0),"Unavailable cash exceeds closing cash",IF($B34="Partial",IF($C34="","Add cutoff date",IF(OR(YEAR($C34)&lt;&gt;YEAR($A34),MONTH($C34)&lt;&gt;MONTH($A34)),"Cutoff must be in month",IF(ABS($R34)&gt;1,"Cash does not reconcile","Ready to upload"))),IF($C34&lt;&gt;"","Remove cutoff date",IF(ABS($R34)&gt;1,"Cash does not reconcile","Ready to upload"))))))))</x:f>
      </x:c>
      <x:c r="T34" s="55"/>
    </x:row>
    <x:row r="35">
      <x:c r="A35" s="61"/>
      <x:c r="B35" s="53"/>
      <x:c r="C35" s="63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7" t="str">
        <x:f>IF($A35="","",IF(COUNT($D35:$Q35)&lt;14,"",ROUND($P35-$D35-($E35-$F35-$G35-$H35-$I35-$J35+$K35+$L35+$M35+$N35-$O35),2)))</x:f>
      </x:c>
      <x:c r="S35" s="59" t="str">
        <x:f>IF($A35="","",IF(DAY($A35)&lt;&gt;1,"Month must start on day 1",IF(COUNTIF($A$7:$A$42,$A35)&gt;1,"Duplicate month",IF(OR($B35="",COUNT($D35:$Q35)&lt;14),"Complete required cells",IF($Q35&gt;MAX($P35,0),"Unavailable cash exceeds closing cash",IF($B35="Partial",IF($C35="","Add cutoff date",IF(OR(YEAR($C35)&lt;&gt;YEAR($A35),MONTH($C35)&lt;&gt;MONTH($A35)),"Cutoff must be in month",IF(ABS($R35)&gt;1,"Cash does not reconcile","Ready to upload"))),IF($C35&lt;&gt;"","Remove cutoff date",IF(ABS($R35)&gt;1,"Cash does not reconcile","Ready to upload"))))))))</x:f>
      </x:c>
      <x:c r="T35" s="55"/>
    </x:row>
    <x:row r="36">
      <x:c r="A36" s="61"/>
      <x:c r="B36" s="53"/>
      <x:c r="C36" s="63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7" t="str">
        <x:f>IF($A36="","",IF(COUNT($D36:$Q36)&lt;14,"",ROUND($P36-$D36-($E36-$F36-$G36-$H36-$I36-$J36+$K36+$L36+$M36+$N36-$O36),2)))</x:f>
      </x:c>
      <x:c r="S36" s="59" t="str">
        <x:f>IF($A36="","",IF(DAY($A36)&lt;&gt;1,"Month must start on day 1",IF(COUNTIF($A$7:$A$42,$A36)&gt;1,"Duplicate month",IF(OR($B36="",COUNT($D36:$Q36)&lt;14),"Complete required cells",IF($Q36&gt;MAX($P36,0),"Unavailable cash exceeds closing cash",IF($B36="Partial",IF($C36="","Add cutoff date",IF(OR(YEAR($C36)&lt;&gt;YEAR($A36),MONTH($C36)&lt;&gt;MONTH($A36)),"Cutoff must be in month",IF(ABS($R36)&gt;1,"Cash does not reconcile","Ready to upload"))),IF($C36&lt;&gt;"","Remove cutoff date",IF(ABS($R36)&gt;1,"Cash does not reconcile","Ready to upload"))))))))</x:f>
      </x:c>
      <x:c r="T36" s="55"/>
    </x:row>
    <x:row r="37">
      <x:c r="A37" s="61"/>
      <x:c r="B37" s="53"/>
      <x:c r="C37" s="63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7" t="str">
        <x:f>IF($A37="","",IF(COUNT($D37:$Q37)&lt;14,"",ROUND($P37-$D37-($E37-$F37-$G37-$H37-$I37-$J37+$K37+$L37+$M37+$N37-$O37),2)))</x:f>
      </x:c>
      <x:c r="S37" s="59" t="str">
        <x:f>IF($A37="","",IF(DAY($A37)&lt;&gt;1,"Month must start on day 1",IF(COUNTIF($A$7:$A$42,$A37)&gt;1,"Duplicate month",IF(OR($B37="",COUNT($D37:$Q37)&lt;14),"Complete required cells",IF($Q37&gt;MAX($P37,0),"Unavailable cash exceeds closing cash",IF($B37="Partial",IF($C37="","Add cutoff date",IF(OR(YEAR($C37)&lt;&gt;YEAR($A37),MONTH($C37)&lt;&gt;MONTH($A37)),"Cutoff must be in month",IF(ABS($R37)&gt;1,"Cash does not reconcile","Ready to upload"))),IF($C37&lt;&gt;"","Remove cutoff date",IF(ABS($R37)&gt;1,"Cash does not reconcile","Ready to upload"))))))))</x:f>
      </x:c>
      <x:c r="T37" s="55"/>
    </x:row>
    <x:row r="38">
      <x:c r="A38" s="61"/>
      <x:c r="B38" s="53"/>
      <x:c r="C38" s="63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7" t="str">
        <x:f>IF($A38="","",IF(COUNT($D38:$Q38)&lt;14,"",ROUND($P38-$D38-($E38-$F38-$G38-$H38-$I38-$J38+$K38+$L38+$M38+$N38-$O38),2)))</x:f>
      </x:c>
      <x:c r="S38" s="59" t="str">
        <x:f>IF($A38="","",IF(DAY($A38)&lt;&gt;1,"Month must start on day 1",IF(COUNTIF($A$7:$A$42,$A38)&gt;1,"Duplicate month",IF(OR($B38="",COUNT($D38:$Q38)&lt;14),"Complete required cells",IF($Q38&gt;MAX($P38,0),"Unavailable cash exceeds closing cash",IF($B38="Partial",IF($C38="","Add cutoff date",IF(OR(YEAR($C38)&lt;&gt;YEAR($A38),MONTH($C38)&lt;&gt;MONTH($A38)),"Cutoff must be in month",IF(ABS($R38)&gt;1,"Cash does not reconcile","Ready to upload"))),IF($C38&lt;&gt;"","Remove cutoff date",IF(ABS($R38)&gt;1,"Cash does not reconcile","Ready to upload"))))))))</x:f>
      </x:c>
      <x:c r="T38" s="55"/>
    </x:row>
    <x:row r="39">
      <x:c r="A39" s="61"/>
      <x:c r="B39" s="53"/>
      <x:c r="C39" s="63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  <x:c r="R39" s="67" t="str">
        <x:f>IF($A39="","",IF(COUNT($D39:$Q39)&lt;14,"",ROUND($P39-$D39-($E39-$F39-$G39-$H39-$I39-$J39+$K39+$L39+$M39+$N39-$O39),2)))</x:f>
      </x:c>
      <x:c r="S39" s="59" t="str">
        <x:f>IF($A39="","",IF(DAY($A39)&lt;&gt;1,"Month must start on day 1",IF(COUNTIF($A$7:$A$42,$A39)&gt;1,"Duplicate month",IF(OR($B39="",COUNT($D39:$Q39)&lt;14),"Complete required cells",IF($Q39&gt;MAX($P39,0),"Unavailable cash exceeds closing cash",IF($B39="Partial",IF($C39="","Add cutoff date",IF(OR(YEAR($C39)&lt;&gt;YEAR($A39),MONTH($C39)&lt;&gt;MONTH($A39)),"Cutoff must be in month",IF(ABS($R39)&gt;1,"Cash does not reconcile","Ready to upload"))),IF($C39&lt;&gt;"","Remove cutoff date",IF(ABS($R39)&gt;1,"Cash does not reconcile","Ready to upload"))))))))</x:f>
      </x:c>
      <x:c r="T39" s="55"/>
    </x:row>
    <x:row r="40">
      <x:c r="A40" s="61"/>
      <x:c r="B40" s="53"/>
      <x:c r="C40" s="63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  <x:c r="R40" s="67" t="str">
        <x:f>IF($A40="","",IF(COUNT($D40:$Q40)&lt;14,"",ROUND($P40-$D40-($E40-$F40-$G40-$H40-$I40-$J40+$K40+$L40+$M40+$N40-$O40),2)))</x:f>
      </x:c>
      <x:c r="S40" s="59" t="str">
        <x:f>IF($A40="","",IF(DAY($A40)&lt;&gt;1,"Month must start on day 1",IF(COUNTIF($A$7:$A$42,$A40)&gt;1,"Duplicate month",IF(OR($B40="",COUNT($D40:$Q40)&lt;14),"Complete required cells",IF($Q40&gt;MAX($P40,0),"Unavailable cash exceeds closing cash",IF($B40="Partial",IF($C40="","Add cutoff date",IF(OR(YEAR($C40)&lt;&gt;YEAR($A40),MONTH($C40)&lt;&gt;MONTH($A40)),"Cutoff must be in month",IF(ABS($R40)&gt;1,"Cash does not reconcile","Ready to upload"))),IF($C40&lt;&gt;"","Remove cutoff date",IF(ABS($R40)&gt;1,"Cash does not reconcile","Ready to upload"))))))))</x:f>
      </x:c>
      <x:c r="T40" s="55"/>
    </x:row>
    <x:row r="41">
      <x:c r="A41" s="61"/>
      <x:c r="B41" s="53"/>
      <x:c r="C41" s="63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7" t="str">
        <x:f>IF($A41="","",IF(COUNT($D41:$Q41)&lt;14,"",ROUND($P41-$D41-($E41-$F41-$G41-$H41-$I41-$J41+$K41+$L41+$M41+$N41-$O41),2)))</x:f>
      </x:c>
      <x:c r="S41" s="59" t="str">
        <x:f>IF($A41="","",IF(DAY($A41)&lt;&gt;1,"Month must start on day 1",IF(COUNTIF($A$7:$A$42,$A41)&gt;1,"Duplicate month",IF(OR($B41="",COUNT($D41:$Q41)&lt;14),"Complete required cells",IF($Q41&gt;MAX($P41,0),"Unavailable cash exceeds closing cash",IF($B41="Partial",IF($C41="","Add cutoff date",IF(OR(YEAR($C41)&lt;&gt;YEAR($A41),MONTH($C41)&lt;&gt;MONTH($A41)),"Cutoff must be in month",IF(ABS($R41)&gt;1,"Cash does not reconcile","Ready to upload"))),IF($C41&lt;&gt;"","Remove cutoff date",IF(ABS($R41)&gt;1,"Cash does not reconcile","Ready to upload"))))))))</x:f>
      </x:c>
      <x:c r="T41" s="55"/>
    </x:row>
    <x:row r="42">
      <x:c r="A42" s="61"/>
      <x:c r="B42" s="53"/>
      <x:c r="C42" s="63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7" t="str">
        <x:f>IF($A42="","",IF(COUNT($D42:$Q42)&lt;14,"",ROUND($P42-$D42-($E42-$F42-$G42-$H42-$I42-$J42+$K42+$L42+$M42+$N42-$O42),2)))</x:f>
      </x:c>
      <x:c r="S42" s="59" t="str">
        <x:f>IF($A42="","",IF(DAY($A42)&lt;&gt;1,"Month must start on day 1",IF(COUNTIF($A$7:$A$42,$A42)&gt;1,"Duplicate month",IF(OR($B42="",COUNT($D42:$Q42)&lt;14),"Complete required cells",IF($Q42&gt;MAX($P42,0),"Unavailable cash exceeds closing cash",IF($B42="Partial",IF($C42="","Add cutoff date",IF(OR(YEAR($C42)&lt;&gt;YEAR($A42),MONTH($C42)&lt;&gt;MONTH($A42)),"Cutoff must be in month",IF(ABS($R42)&gt;1,"Cash does not reconcile","Ready to upload"))),IF($C42&lt;&gt;"","Remove cutoff date",IF(ABS($R42)&gt;1,"Cash does not reconcile","Ready to upload"))))))))</x:f>
      </x:c>
      <x:c r="T42" s="55"/>
    </x:row>
  </x:sheetData>
  <x:mergeCells>
    <x:mergeCell ref="A1:T2"/>
    <x:mergeCell ref="A3:T3"/>
    <x:mergeCell ref="A5:C5"/>
    <x:mergeCell ref="D5:Q5"/>
    <x:mergeCell ref="R5:S5"/>
  </x:mergeCells>
  <x:conditionalFormatting sqref="S7:S42">
    <x:cfRule type="containsText" dxfId="0" priority="1" operator="containsText" text="Complete required"/>
    <x:cfRule type="containsText" dxfId="1" priority="2" operator="containsText" text="Add cutoff"/>
    <x:cfRule type="containsText" dxfId="2" priority="3" operator="containsText" text="Cutoff must"/>
    <x:cfRule type="containsText" dxfId="3" priority="4" operator="containsText" text="Remove cutoff"/>
    <x:cfRule type="containsText" dxfId="4" priority="5" operator="containsText" text="does not reconcile"/>
    <x:cfRule type="containsText" dxfId="5" priority="6" operator="containsText" text="Duplicate"/>
    <x:cfRule type="containsText" dxfId="6" priority="7" operator="containsText" text="exceeds closing"/>
    <x:cfRule type="containsText" dxfId="7" priority="8" operator="containsText" text="day 1"/>
  </x:conditionalFormatting>
  <x:dataValidations count="3">
    <x:dataValidation type="list" sqref="B7:B42">
      <x:formula1>"Complete,Partial"</x:formula1>
    </x:dataValidation>
    <x:dataValidation type="decimal" operator="greaterThanOrEqual" sqref="E7:O42">
      <x:formula1>0</x:formula1>
    </x:dataValidation>
    <x:dataValidation type="decimal" operator="greaterThanOrEqual" sqref="Q7:Q42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CBDB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ELIDAN AI  |  Optional detail</x:v>
      </x:c>
      <x:c r="B1" s="3" t="str">
        <x:v>ELIDAN AI  |  Optional detail</x:v>
      </x:c>
      <x:c r="C1" s="3" t="str">
        <x:v>ELIDAN AI  |  Optional detail</x:v>
      </x:c>
      <x:c r="D1" s="3" t="str">
        <x:v>ELIDAN AI  |  Optional detail</x:v>
      </x:c>
      <x:c r="E1" s="3" t="str">
        <x:v>ELIDAN AI  |  Optional detail</x:v>
      </x:c>
      <x:c r="F1" s="3" t="str">
        <x:v>ELIDAN AI  |  Optional detail</x:v>
      </x:c>
      <x:c r="G1" s="3" t="str">
        <x:v>ELIDAN AI  |  Optional detail</x:v>
      </x:c>
    </x:row>
    <x:row r="2" ht="30" customHeight="1">
      <x:c r="A2" s="3" t="str">
        <x:v>ELIDAN AI  |  Optional detail</x:v>
      </x:c>
      <x:c r="B2" s="3" t="str">
        <x:v>ELIDAN AI  |  Optional detail</x:v>
      </x:c>
      <x:c r="C2" s="3" t="str">
        <x:v>ELIDAN AI  |  Optional detail</x:v>
      </x:c>
      <x:c r="D2" s="3" t="str">
        <x:v>ELIDAN AI  |  Optional detail</x:v>
      </x:c>
      <x:c r="E2" s="3" t="str">
        <x:v>ELIDAN AI  |  Optional detail</x:v>
      </x:c>
      <x:c r="F2" s="3" t="str">
        <x:v>ELIDAN AI  |  Optional detail</x:v>
      </x:c>
      <x:c r="G2" s="3" t="str">
        <x:v>ELIDAN AI  |  Optional detail</x:v>
      </x:c>
    </x:row>
    <x:row r="3" ht="30" customHeight="1">
      <x:c r="A3" s="7" t="str">
        <x:v>Add context that improves near-term cash guidance. Leave a value blank when it is not available; do not estimate it as zero.</x:v>
      </x:c>
      <x:c r="B3" s="7" t="str">
        <x:v>Add context that improves near-term cash guidance. Leave a value blank when it is not available; do not estimate it as zero.</x:v>
      </x:c>
      <x:c r="C3" s="7" t="str">
        <x:v>Add context that improves near-term cash guidance. Leave a value blank when it is not available; do not estimate it as zero.</x:v>
      </x:c>
      <x:c r="D3" s="7" t="str">
        <x:v>Add context that improves near-term cash guidance. Leave a value blank when it is not available; do not estimate it as zero.</x:v>
      </x:c>
      <x:c r="E3" s="7" t="str">
        <x:v>Add context that improves near-term cash guidance. Leave a value blank when it is not available; do not estimate it as zero.</x:v>
      </x:c>
      <x:c r="F3" s="7" t="str">
        <x:v>Add context that improves near-term cash guidance. Leave a value blank when it is not available; do not estimate it as zero.</x:v>
      </x:c>
      <x:c r="G3" s="7" t="str">
        <x:v>Add context that improves near-term cash guidance. Leave a value blank when it is not available; do not estimate it as zero.</x:v>
      </x:c>
    </x:row>
    <x:row r="5" ht="48" customHeight="1">
      <x:c r="A5" s="51" t="str">
        <x:v>Month</x:v>
      </x:c>
      <x:c r="B5" s="51" t="str">
        <x:v>Taxes reserved</x:v>
      </x:c>
      <x:c r="C5" s="51" t="str">
        <x:v>Customer invoices expected within 30 days</x:v>
      </x:c>
      <x:c r="D5" s="51" t="str">
        <x:v>Bills due within 30 days</x:v>
      </x:c>
      <x:c r="E5" s="51" t="str">
        <x:v>Available credit</x:v>
      </x:c>
      <x:c r="F5" s="51" t="str">
        <x:v>Credit currently drawn</x:v>
      </x:c>
      <x:c r="G5" s="51" t="str">
        <x:v>Lowest observed cash</x:v>
      </x:c>
    </x:row>
    <x:row r="6">
      <x:c r="A6" s="68" t="str">
        <x:f>IF('Monthly Cash'!A7="","",'Monthly Cash'!A7)</x:f>
      </x:c>
      <x:c r="B6" s="64"/>
      <x:c r="C6" s="64"/>
      <x:c r="D6" s="64"/>
      <x:c r="E6" s="64"/>
      <x:c r="F6" s="64"/>
      <x:c r="G6" s="64"/>
    </x:row>
    <x:row r="7">
      <x:c r="A7" s="69" t="str">
        <x:f>IF('Monthly Cash'!A8="","",'Monthly Cash'!A8)</x:f>
      </x:c>
      <x:c r="B7" s="66"/>
      <x:c r="C7" s="66"/>
      <x:c r="D7" s="66"/>
      <x:c r="E7" s="66"/>
      <x:c r="F7" s="66"/>
      <x:c r="G7" s="66"/>
    </x:row>
    <x:row r="8">
      <x:c r="A8" s="69" t="str">
        <x:f>IF('Monthly Cash'!A9="","",'Monthly Cash'!A9)</x:f>
      </x:c>
      <x:c r="B8" s="66"/>
      <x:c r="C8" s="66"/>
      <x:c r="D8" s="66"/>
      <x:c r="E8" s="66"/>
      <x:c r="F8" s="66"/>
      <x:c r="G8" s="66"/>
    </x:row>
    <x:row r="9">
      <x:c r="A9" s="69" t="str">
        <x:f>IF('Monthly Cash'!A10="","",'Monthly Cash'!A10)</x:f>
      </x:c>
      <x:c r="B9" s="66"/>
      <x:c r="C9" s="66"/>
      <x:c r="D9" s="66"/>
      <x:c r="E9" s="66"/>
      <x:c r="F9" s="66"/>
      <x:c r="G9" s="66"/>
    </x:row>
    <x:row r="10">
      <x:c r="A10" s="69" t="str">
        <x:f>IF('Monthly Cash'!A11="","",'Monthly Cash'!A11)</x:f>
      </x:c>
      <x:c r="B10" s="66"/>
      <x:c r="C10" s="66"/>
      <x:c r="D10" s="66"/>
      <x:c r="E10" s="66"/>
      <x:c r="F10" s="66"/>
      <x:c r="G10" s="66"/>
    </x:row>
    <x:row r="11">
      <x:c r="A11" s="69" t="str">
        <x:f>IF('Monthly Cash'!A12="","",'Monthly Cash'!A12)</x:f>
      </x:c>
      <x:c r="B11" s="66"/>
      <x:c r="C11" s="66"/>
      <x:c r="D11" s="66"/>
      <x:c r="E11" s="66"/>
      <x:c r="F11" s="66"/>
      <x:c r="G11" s="66"/>
    </x:row>
    <x:row r="12">
      <x:c r="A12" s="69" t="str">
        <x:f>IF('Monthly Cash'!A13="","",'Monthly Cash'!A13)</x:f>
      </x:c>
      <x:c r="B12" s="66"/>
      <x:c r="C12" s="66"/>
      <x:c r="D12" s="66"/>
      <x:c r="E12" s="66"/>
      <x:c r="F12" s="66"/>
      <x:c r="G12" s="66"/>
    </x:row>
    <x:row r="13">
      <x:c r="A13" s="69" t="str">
        <x:f>IF('Monthly Cash'!A14="","",'Monthly Cash'!A14)</x:f>
      </x:c>
      <x:c r="B13" s="66"/>
      <x:c r="C13" s="66"/>
      <x:c r="D13" s="66"/>
      <x:c r="E13" s="66"/>
      <x:c r="F13" s="66"/>
      <x:c r="G13" s="66"/>
    </x:row>
    <x:row r="14">
      <x:c r="A14" s="69" t="str">
        <x:f>IF('Monthly Cash'!A15="","",'Monthly Cash'!A15)</x:f>
      </x:c>
      <x:c r="B14" s="66"/>
      <x:c r="C14" s="66"/>
      <x:c r="D14" s="66"/>
      <x:c r="E14" s="66"/>
      <x:c r="F14" s="66"/>
      <x:c r="G14" s="66"/>
    </x:row>
    <x:row r="15">
      <x:c r="A15" s="69" t="str">
        <x:f>IF('Monthly Cash'!A16="","",'Monthly Cash'!A16)</x:f>
      </x:c>
      <x:c r="B15" s="66"/>
      <x:c r="C15" s="66"/>
      <x:c r="D15" s="66"/>
      <x:c r="E15" s="66"/>
      <x:c r="F15" s="66"/>
      <x:c r="G15" s="66"/>
    </x:row>
    <x:row r="16">
      <x:c r="A16" s="69" t="str">
        <x:f>IF('Monthly Cash'!A17="","",'Monthly Cash'!A17)</x:f>
      </x:c>
      <x:c r="B16" s="66"/>
      <x:c r="C16" s="66"/>
      <x:c r="D16" s="66"/>
      <x:c r="E16" s="66"/>
      <x:c r="F16" s="66"/>
      <x:c r="G16" s="66"/>
    </x:row>
    <x:row r="17">
      <x:c r="A17" s="69" t="str">
        <x:f>IF('Monthly Cash'!A18="","",'Monthly Cash'!A18)</x:f>
      </x:c>
      <x:c r="B17" s="66"/>
      <x:c r="C17" s="66"/>
      <x:c r="D17" s="66"/>
      <x:c r="E17" s="66"/>
      <x:c r="F17" s="66"/>
      <x:c r="G17" s="66"/>
    </x:row>
    <x:row r="18">
      <x:c r="A18" s="69" t="str">
        <x:f>IF('Monthly Cash'!A19="","",'Monthly Cash'!A19)</x:f>
      </x:c>
      <x:c r="B18" s="66"/>
      <x:c r="C18" s="66"/>
      <x:c r="D18" s="66"/>
      <x:c r="E18" s="66"/>
      <x:c r="F18" s="66"/>
      <x:c r="G18" s="66"/>
    </x:row>
    <x:row r="19">
      <x:c r="A19" s="69" t="str">
        <x:f>IF('Monthly Cash'!A20="","",'Monthly Cash'!A20)</x:f>
      </x:c>
      <x:c r="B19" s="66"/>
      <x:c r="C19" s="66"/>
      <x:c r="D19" s="66"/>
      <x:c r="E19" s="66"/>
      <x:c r="F19" s="66"/>
      <x:c r="G19" s="66"/>
    </x:row>
    <x:row r="20">
      <x:c r="A20" s="69" t="str">
        <x:f>IF('Monthly Cash'!A21="","",'Monthly Cash'!A21)</x:f>
      </x:c>
      <x:c r="B20" s="66"/>
      <x:c r="C20" s="66"/>
      <x:c r="D20" s="66"/>
      <x:c r="E20" s="66"/>
      <x:c r="F20" s="66"/>
      <x:c r="G20" s="66"/>
    </x:row>
    <x:row r="21">
      <x:c r="A21" s="69" t="str">
        <x:f>IF('Monthly Cash'!A22="","",'Monthly Cash'!A22)</x:f>
      </x:c>
      <x:c r="B21" s="66"/>
      <x:c r="C21" s="66"/>
      <x:c r="D21" s="66"/>
      <x:c r="E21" s="66"/>
      <x:c r="F21" s="66"/>
      <x:c r="G21" s="66"/>
    </x:row>
    <x:row r="22">
      <x:c r="A22" s="69" t="str">
        <x:f>IF('Monthly Cash'!A23="","",'Monthly Cash'!A23)</x:f>
      </x:c>
      <x:c r="B22" s="66"/>
      <x:c r="C22" s="66"/>
      <x:c r="D22" s="66"/>
      <x:c r="E22" s="66"/>
      <x:c r="F22" s="66"/>
      <x:c r="G22" s="66"/>
    </x:row>
    <x:row r="23">
      <x:c r="A23" s="69" t="str">
        <x:f>IF('Monthly Cash'!A24="","",'Monthly Cash'!A24)</x:f>
      </x:c>
      <x:c r="B23" s="66"/>
      <x:c r="C23" s="66"/>
      <x:c r="D23" s="66"/>
      <x:c r="E23" s="66"/>
      <x:c r="F23" s="66"/>
      <x:c r="G23" s="66"/>
    </x:row>
    <x:row r="24">
      <x:c r="A24" s="69" t="str">
        <x:f>IF('Monthly Cash'!A25="","",'Monthly Cash'!A25)</x:f>
      </x:c>
      <x:c r="B24" s="66"/>
      <x:c r="C24" s="66"/>
      <x:c r="D24" s="66"/>
      <x:c r="E24" s="66"/>
      <x:c r="F24" s="66"/>
      <x:c r="G24" s="66"/>
    </x:row>
    <x:row r="25">
      <x:c r="A25" s="69" t="str">
        <x:f>IF('Monthly Cash'!A26="","",'Monthly Cash'!A26)</x:f>
      </x:c>
      <x:c r="B25" s="66"/>
      <x:c r="C25" s="66"/>
      <x:c r="D25" s="66"/>
      <x:c r="E25" s="66"/>
      <x:c r="F25" s="66"/>
      <x:c r="G25" s="66"/>
    </x:row>
    <x:row r="26">
      <x:c r="A26" s="69" t="str">
        <x:f>IF('Monthly Cash'!A27="","",'Monthly Cash'!A27)</x:f>
      </x:c>
      <x:c r="B26" s="66"/>
      <x:c r="C26" s="66"/>
      <x:c r="D26" s="66"/>
      <x:c r="E26" s="66"/>
      <x:c r="F26" s="66"/>
      <x:c r="G26" s="66"/>
    </x:row>
    <x:row r="27">
      <x:c r="A27" s="69" t="str">
        <x:f>IF('Monthly Cash'!A28="","",'Monthly Cash'!A28)</x:f>
      </x:c>
      <x:c r="B27" s="66"/>
      <x:c r="C27" s="66"/>
      <x:c r="D27" s="66"/>
      <x:c r="E27" s="66"/>
      <x:c r="F27" s="66"/>
      <x:c r="G27" s="66"/>
    </x:row>
    <x:row r="28">
      <x:c r="A28" s="69" t="str">
        <x:f>IF('Monthly Cash'!A29="","",'Monthly Cash'!A29)</x:f>
      </x:c>
      <x:c r="B28" s="66"/>
      <x:c r="C28" s="66"/>
      <x:c r="D28" s="66"/>
      <x:c r="E28" s="66"/>
      <x:c r="F28" s="66"/>
      <x:c r="G28" s="66"/>
    </x:row>
    <x:row r="29">
      <x:c r="A29" s="69" t="str">
        <x:f>IF('Monthly Cash'!A30="","",'Monthly Cash'!A30)</x:f>
      </x:c>
      <x:c r="B29" s="66"/>
      <x:c r="C29" s="66"/>
      <x:c r="D29" s="66"/>
      <x:c r="E29" s="66"/>
      <x:c r="F29" s="66"/>
      <x:c r="G29" s="66"/>
    </x:row>
    <x:row r="30">
      <x:c r="A30" s="69" t="str">
        <x:f>IF('Monthly Cash'!A31="","",'Monthly Cash'!A31)</x:f>
      </x:c>
      <x:c r="B30" s="66"/>
      <x:c r="C30" s="66"/>
      <x:c r="D30" s="66"/>
      <x:c r="E30" s="66"/>
      <x:c r="F30" s="66"/>
      <x:c r="G30" s="66"/>
    </x:row>
    <x:row r="31">
      <x:c r="A31" s="69" t="str">
        <x:f>IF('Monthly Cash'!A32="","",'Monthly Cash'!A32)</x:f>
      </x:c>
      <x:c r="B31" s="66"/>
      <x:c r="C31" s="66"/>
      <x:c r="D31" s="66"/>
      <x:c r="E31" s="66"/>
      <x:c r="F31" s="66"/>
      <x:c r="G31" s="66"/>
    </x:row>
    <x:row r="32">
      <x:c r="A32" s="69" t="str">
        <x:f>IF('Monthly Cash'!A33="","",'Monthly Cash'!A33)</x:f>
      </x:c>
      <x:c r="B32" s="66"/>
      <x:c r="C32" s="66"/>
      <x:c r="D32" s="66"/>
      <x:c r="E32" s="66"/>
      <x:c r="F32" s="66"/>
      <x:c r="G32" s="66"/>
    </x:row>
    <x:row r="33">
      <x:c r="A33" s="69" t="str">
        <x:f>IF('Monthly Cash'!A34="","",'Monthly Cash'!A34)</x:f>
      </x:c>
      <x:c r="B33" s="66"/>
      <x:c r="C33" s="66"/>
      <x:c r="D33" s="66"/>
      <x:c r="E33" s="66"/>
      <x:c r="F33" s="66"/>
      <x:c r="G33" s="66"/>
    </x:row>
    <x:row r="34">
      <x:c r="A34" s="69" t="str">
        <x:f>IF('Monthly Cash'!A35="","",'Monthly Cash'!A35)</x:f>
      </x:c>
      <x:c r="B34" s="66"/>
      <x:c r="C34" s="66"/>
      <x:c r="D34" s="66"/>
      <x:c r="E34" s="66"/>
      <x:c r="F34" s="66"/>
      <x:c r="G34" s="66"/>
    </x:row>
    <x:row r="35">
      <x:c r="A35" s="69" t="str">
        <x:f>IF('Monthly Cash'!A36="","",'Monthly Cash'!A36)</x:f>
      </x:c>
      <x:c r="B35" s="66"/>
      <x:c r="C35" s="66"/>
      <x:c r="D35" s="66"/>
      <x:c r="E35" s="66"/>
      <x:c r="F35" s="66"/>
      <x:c r="G35" s="66"/>
    </x:row>
    <x:row r="36">
      <x:c r="A36" s="69" t="str">
        <x:f>IF('Monthly Cash'!A37="","",'Monthly Cash'!A37)</x:f>
      </x:c>
      <x:c r="B36" s="66"/>
      <x:c r="C36" s="66"/>
      <x:c r="D36" s="66"/>
      <x:c r="E36" s="66"/>
      <x:c r="F36" s="66"/>
      <x:c r="G36" s="66"/>
    </x:row>
    <x:row r="37">
      <x:c r="A37" s="69" t="str">
        <x:f>IF('Monthly Cash'!A38="","",'Monthly Cash'!A38)</x:f>
      </x:c>
      <x:c r="B37" s="66"/>
      <x:c r="C37" s="66"/>
      <x:c r="D37" s="66"/>
      <x:c r="E37" s="66"/>
      <x:c r="F37" s="66"/>
      <x:c r="G37" s="66"/>
    </x:row>
    <x:row r="38">
      <x:c r="A38" s="69" t="str">
        <x:f>IF('Monthly Cash'!A39="","",'Monthly Cash'!A39)</x:f>
      </x:c>
      <x:c r="B38" s="66"/>
      <x:c r="C38" s="66"/>
      <x:c r="D38" s="66"/>
      <x:c r="E38" s="66"/>
      <x:c r="F38" s="66"/>
      <x:c r="G38" s="66"/>
    </x:row>
    <x:row r="39">
      <x:c r="A39" s="69" t="str">
        <x:f>IF('Monthly Cash'!A40="","",'Monthly Cash'!A40)</x:f>
      </x:c>
      <x:c r="B39" s="66"/>
      <x:c r="C39" s="66"/>
      <x:c r="D39" s="66"/>
      <x:c r="E39" s="66"/>
      <x:c r="F39" s="66"/>
      <x:c r="G39" s="66"/>
    </x:row>
    <x:row r="40">
      <x:c r="A40" s="69" t="str">
        <x:f>IF('Monthly Cash'!A41="","",'Monthly Cash'!A41)</x:f>
      </x:c>
      <x:c r="B40" s="66"/>
      <x:c r="C40" s="66"/>
      <x:c r="D40" s="66"/>
      <x:c r="E40" s="66"/>
      <x:c r="F40" s="66"/>
      <x:c r="G40" s="66"/>
    </x:row>
    <x:row r="41">
      <x:c r="A41" s="69" t="str">
        <x:f>IF('Monthly Cash'!A42="","",'Monthly Cash'!A42)</x:f>
      </x:c>
      <x:c r="B41" s="66"/>
      <x:c r="C41" s="66"/>
      <x:c r="D41" s="66"/>
      <x:c r="E41" s="66"/>
      <x:c r="F41" s="66"/>
      <x:c r="G41" s="66"/>
    </x:row>
    <x:row r="43">
      <x:c r="A43" s="79" t="str">
        <x:v>Taxes reserved are part of unavailable cash, not another payment. Available credit is shown separately from cash. The lowest observed cash balance helps reveal intra-month pressure that a month-end balance can hide.</x:v>
      </x:c>
      <x:c r="B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C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D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E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F43" s="80" t="str">
        <x:v>Taxes reserved are part of unavailable cash, not another payment. Available credit is shown separately from cash. The lowest observed cash balance helps reveal intra-month pressure that a month-end balance can hide.</x:v>
      </x:c>
      <x:c r="G43" s="81" t="str">
        <x:v>Taxes reserved are part of unavailable cash, not another payment. Available credit is shown separately from cash. The lowest observed cash balance helps reveal intra-month pressure that a month-end balance can hide.</x:v>
      </x:c>
    </x:row>
    <x:row r="44">
      <x:c r="A44" s="82" t="str">
        <x:v>Taxes reserved are part of unavailable cash, not another payment. Available credit is shown separately from cash. The lowest observed cash balance helps reveal intra-month pressure that a month-end balance can hide.</x:v>
      </x:c>
      <x:c r="B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C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D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E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F44" s="83" t="str">
        <x:v>Taxes reserved are part of unavailable cash, not another payment. Available credit is shown separately from cash. The lowest observed cash balance helps reveal intra-month pressure that a month-end balance can hide.</x:v>
      </x:c>
      <x:c r="G44" s="84" t="str">
        <x:v>Taxes reserved are part of unavailable cash, not another payment. Available credit is shown separately from cash. The lowest observed cash balance helps reveal intra-month pressure that a month-end balance can hide.</x:v>
      </x:c>
    </x:row>
    <x:row r="45">
      <x:c r="A45" s="85" t="str">
        <x:v>Taxes reserved are part of unavailable cash, not another payment. Available credit is shown separately from cash. The lowest observed cash balance helps reveal intra-month pressure that a month-end balance can hide.</x:v>
      </x:c>
      <x:c r="B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C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D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E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F45" s="86" t="str">
        <x:v>Taxes reserved are part of unavailable cash, not another payment. Available credit is shown separately from cash. The lowest observed cash balance helps reveal intra-month pressure that a month-end balance can hide.</x:v>
      </x:c>
      <x:c r="G45" s="87" t="str">
        <x:v>Taxes reserved are part of unavailable cash, not another payment. Available credit is shown separately from cash. The lowest observed cash balance helps reveal intra-month pressure that a month-end balance can hide.</x:v>
      </x:c>
    </x:row>
  </x:sheetData>
  <x:mergeCells>
    <x:mergeCell ref="A1:G2"/>
    <x:mergeCell ref="A3:G3"/>
    <x:mergeCell ref="A43:G45"/>
  </x:mergeCells>
  <x:dataValidations count="1">
    <x:dataValidation type="decimal" operator="greaterThanOrEqual" sqref="B6:F41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ELIDAN AI  |  Worked example</x:v>
      </x:c>
      <x:c r="B1" s="3" t="str">
        <x:v>ELIDAN AI  |  Worked example</x:v>
      </x:c>
      <x:c r="C1" s="3" t="str">
        <x:v>ELIDAN AI  |  Worked example</x:v>
      </x:c>
      <x:c r="D1" s="3" t="str">
        <x:v>ELIDAN AI  |  Worked example</x:v>
      </x:c>
      <x:c r="E1" s="3" t="str">
        <x:v>ELIDAN AI  |  Worked example</x:v>
      </x:c>
      <x:c r="F1" s="3" t="str">
        <x:v>ELIDAN AI  |  Worked example</x:v>
      </x:c>
      <x:c r="G1" s="3" t="str">
        <x:v>ELIDAN AI  |  Worked example</x:v>
      </x:c>
      <x:c r="H1" s="3" t="str">
        <x:v>ELIDAN AI  |  Worked example</x:v>
      </x:c>
      <x:c r="I1" s="3" t="str">
        <x:v>ELIDAN AI  |  Worked example</x:v>
      </x:c>
      <x:c r="J1" s="3" t="str">
        <x:v>ELIDAN AI  |  Worked example</x:v>
      </x:c>
      <x:c r="K1" s="3" t="str">
        <x:v>ELIDAN AI  |  Worked example</x:v>
      </x:c>
      <x:c r="L1" s="3" t="str">
        <x:v>ELIDAN AI  |  Worked example</x:v>
      </x:c>
      <x:c r="M1" s="3" t="str">
        <x:v>ELIDAN AI  |  Worked example</x:v>
      </x:c>
      <x:c r="N1" s="3" t="str">
        <x:v>ELIDAN AI  |  Worked example</x:v>
      </x:c>
      <x:c r="O1" s="3" t="str">
        <x:v>ELIDAN AI  |  Worked example</x:v>
      </x:c>
      <x:c r="P1" s="3" t="str">
        <x:v>ELIDAN AI  |  Worked example</x:v>
      </x:c>
      <x:c r="Q1" s="3" t="str">
        <x:v>ELIDAN AI  |  Worked example</x:v>
      </x:c>
      <x:c r="R1" s="3" t="str">
        <x:v>ELIDAN AI  |  Worked example</x:v>
      </x:c>
      <x:c r="S1" s="3" t="str">
        <x:v>ELIDAN AI  |  Worked example</x:v>
      </x:c>
    </x:row>
    <x:row r="2" ht="30" customHeight="1">
      <x:c r="A2" s="3" t="str">
        <x:v>ELIDAN AI  |  Worked example</x:v>
      </x:c>
      <x:c r="B2" s="3" t="str">
        <x:v>ELIDAN AI  |  Worked example</x:v>
      </x:c>
      <x:c r="C2" s="3" t="str">
        <x:v>ELIDAN AI  |  Worked example</x:v>
      </x:c>
      <x:c r="D2" s="3" t="str">
        <x:v>ELIDAN AI  |  Worked example</x:v>
      </x:c>
      <x:c r="E2" s="3" t="str">
        <x:v>ELIDAN AI  |  Worked example</x:v>
      </x:c>
      <x:c r="F2" s="3" t="str">
        <x:v>ELIDAN AI  |  Worked example</x:v>
      </x:c>
      <x:c r="G2" s="3" t="str">
        <x:v>ELIDAN AI  |  Worked example</x:v>
      </x:c>
      <x:c r="H2" s="3" t="str">
        <x:v>ELIDAN AI  |  Worked example</x:v>
      </x:c>
      <x:c r="I2" s="3" t="str">
        <x:v>ELIDAN AI  |  Worked example</x:v>
      </x:c>
      <x:c r="J2" s="3" t="str">
        <x:v>ELIDAN AI  |  Worked example</x:v>
      </x:c>
      <x:c r="K2" s="3" t="str">
        <x:v>ELIDAN AI  |  Worked example</x:v>
      </x:c>
      <x:c r="L2" s="3" t="str">
        <x:v>ELIDAN AI  |  Worked example</x:v>
      </x:c>
      <x:c r="M2" s="3" t="str">
        <x:v>ELIDAN AI  |  Worked example</x:v>
      </x:c>
      <x:c r="N2" s="3" t="str">
        <x:v>ELIDAN AI  |  Worked example</x:v>
      </x:c>
      <x:c r="O2" s="3" t="str">
        <x:v>ELIDAN AI  |  Worked example</x:v>
      </x:c>
      <x:c r="P2" s="3" t="str">
        <x:v>ELIDAN AI  |  Worked example</x:v>
      </x:c>
      <x:c r="Q2" s="3" t="str">
        <x:v>ELIDAN AI  |  Worked example</x:v>
      </x:c>
      <x:c r="R2" s="3" t="str">
        <x:v>ELIDAN AI  |  Worked example</x:v>
      </x:c>
      <x:c r="S2" s="3" t="str">
        <x:v>ELIDAN AI  |  Worked example</x:v>
      </x:c>
    </x:row>
    <x:row r="3" ht="30" customHeight="1">
      <x:c r="A3" s="7" t="str">
        <x:v>Reference only. This month reconciles because the classified cash activity explains the change from opening to closing cash.</x:v>
      </x:c>
      <x:c r="B3" s="7" t="str">
        <x:v>Reference only. This month reconciles because the classified cash activity explains the change from opening to closing cash.</x:v>
      </x:c>
      <x:c r="C3" s="7" t="str">
        <x:v>Reference only. This month reconciles because the classified cash activity explains the change from opening to closing cash.</x:v>
      </x:c>
      <x:c r="D3" s="7" t="str">
        <x:v>Reference only. This month reconciles because the classified cash activity explains the change from opening to closing cash.</x:v>
      </x:c>
      <x:c r="E3" s="7" t="str">
        <x:v>Reference only. This month reconciles because the classified cash activity explains the change from opening to closing cash.</x:v>
      </x:c>
      <x:c r="F3" s="7" t="str">
        <x:v>Reference only. This month reconciles because the classified cash activity explains the change from opening to closing cash.</x:v>
      </x:c>
      <x:c r="G3" s="7" t="str">
        <x:v>Reference only. This month reconciles because the classified cash activity explains the change from opening to closing cash.</x:v>
      </x:c>
      <x:c r="H3" s="7" t="str">
        <x:v>Reference only. This month reconciles because the classified cash activity explains the change from opening to closing cash.</x:v>
      </x:c>
      <x:c r="I3" s="7" t="str">
        <x:v>Reference only. This month reconciles because the classified cash activity explains the change from opening to closing cash.</x:v>
      </x:c>
      <x:c r="J3" s="7" t="str">
        <x:v>Reference only. This month reconciles because the classified cash activity explains the change from opening to closing cash.</x:v>
      </x:c>
      <x:c r="K3" s="7" t="str">
        <x:v>Reference only. This month reconciles because the classified cash activity explains the change from opening to closing cash.</x:v>
      </x:c>
      <x:c r="L3" s="7" t="str">
        <x:v>Reference only. This month reconciles because the classified cash activity explains the change from opening to closing cash.</x:v>
      </x:c>
      <x:c r="M3" s="7" t="str">
        <x:v>Reference only. This month reconciles because the classified cash activity explains the change from opening to closing cash.</x:v>
      </x:c>
      <x:c r="N3" s="7" t="str">
        <x:v>Reference only. This month reconciles because the classified cash activity explains the change from opening to closing cash.</x:v>
      </x:c>
      <x:c r="O3" s="7" t="str">
        <x:v>Reference only. This month reconciles because the classified cash activity explains the change from opening to closing cash.</x:v>
      </x:c>
      <x:c r="P3" s="7" t="str">
        <x:v>Reference only. This month reconciles because the classified cash activity explains the change from opening to closing cash.</x:v>
      </x:c>
      <x:c r="Q3" s="7" t="str">
        <x:v>Reference only. This month reconciles because the classified cash activity explains the change from opening to closing cash.</x:v>
      </x:c>
      <x:c r="R3" s="7" t="str">
        <x:v>Reference only. This month reconciles because the classified cash activity explains the change from opening to closing cash.</x:v>
      </x:c>
      <x:c r="S3" s="7" t="str">
        <x:v>Reference only. This month reconciles because the classified cash activity explains the change from opening to closing cash.</x:v>
      </x:c>
    </x:row>
    <x:row r="5" ht="48" customHeight="1">
      <x:c r="A5" s="51" t="str">
        <x:v>Month</x:v>
      </x:c>
      <x:c r="B5" s="51" t="str">
        <x:v>Period status</x:v>
      </x:c>
      <x:c r="C5" s="51" t="str">
        <x:v>Cutoff date</x:v>
      </x:c>
      <x:c r="D5" s="51" t="str">
        <x:v>Opening included cash</x:v>
      </x:c>
      <x:c r="E5" s="51" t="str">
        <x:v>Cash collected from customers</x:v>
      </x:c>
      <x:c r="F5" s="51" t="str">
        <x:v>Operating cash paid</x:v>
      </x:c>
      <x:c r="G5" s="51" t="str">
        <x:v>Owner draws or distributions</x:v>
      </x:c>
      <x:c r="H5" s="51" t="str">
        <x:v>Debt principal paid</x:v>
      </x:c>
      <x:c r="I5" s="51" t="str">
        <x:v>Debt interest paid</x:v>
      </x:c>
      <x:c r="J5" s="51" t="str">
        <x:v>Asset purchases</x:v>
      </x:c>
      <x:c r="K5" s="51" t="str">
        <x:v>Asset sale proceeds</x:v>
      </x:c>
      <x:c r="L5" s="51" t="str">
        <x:v>New debt received</x:v>
      </x:c>
      <x:c r="M5" s="51" t="str">
        <x:v>Owner or equity funding</x:v>
      </x:c>
      <x:c r="N5" s="51" t="str">
        <x:v>Other cash in</x:v>
      </x:c>
      <x:c r="O5" s="51" t="str">
        <x:v>Other cash out</x:v>
      </x:c>
      <x:c r="P5" s="51" t="str">
        <x:v>Closing included cash</x:v>
      </x:c>
      <x:c r="Q5" s="51" t="str">
        <x:v>Unavailable cash</x:v>
      </x:c>
      <x:c r="R5" s="51" t="str">
        <x:v>Reconciliation difference</x:v>
      </x:c>
      <x:c r="S5" s="51" t="str">
        <x:v>Row check</x:v>
      </x:c>
    </x:row>
    <x:row r="6">
      <x:c r="A6" s="94" t="d">
        <x:v>2026-01-01T12:00:00.000Z</x:v>
      </x:c>
      <x:c r="B6" s="95" t="str">
        <x:v>Complete</x:v>
      </x:c>
      <x:c r="C6" s="95"/>
      <x:c r="D6" s="96" t="n">
        <x:v>100000</x:v>
      </x:c>
      <x:c r="E6" s="96" t="n">
        <x:v>75000</x:v>
      </x:c>
      <x:c r="F6" s="96" t="n">
        <x:v>60000</x:v>
      </x:c>
      <x:c r="G6" s="96" t="n">
        <x:v>3000</x:v>
      </x:c>
      <x:c r="H6" s="96" t="n">
        <x:v>2000</x:v>
      </x:c>
      <x:c r="I6" s="96" t="n">
        <x:v>500</x:v>
      </x:c>
      <x:c r="J6" s="96" t="n">
        <x:v>8000</x:v>
      </x:c>
      <x:c r="K6" s="96" t="n">
        <x:v>0</x:v>
      </x:c>
      <x:c r="L6" s="96" t="n">
        <x:v>0</x:v>
      </x:c>
      <x:c r="M6" s="96" t="n">
        <x:v>10000</x:v>
      </x:c>
      <x:c r="N6" s="96" t="n">
        <x:v>0</x:v>
      </x:c>
      <x:c r="O6" s="96" t="n">
        <x:v>1500</x:v>
      </x:c>
      <x:c r="P6" s="96" t="n">
        <x:v>110000</x:v>
      </x:c>
      <x:c r="Q6" s="96" t="n">
        <x:v>12000</x:v>
      </x:c>
      <x:c r="R6" s="99" t="n">
        <x:f>ROUND(P6-D6-(E6-F6-G6-H6-I6-J6+K6+L6+M6+N6-O6),2)</x:f>
        <x:v>0</x:v>
      </x:c>
      <x:c r="S6" s="100" t="str">
        <x:f>IF(ABS(R6)&lt;=1,"Reconciles","Review entries")</x:f>
        <x:v>Reconciles</x:v>
      </x:c>
    </x:row>
    <x:row r="9" ht="22" customHeight="1">
      <x:c r="A9" s="10" t="str">
        <x:v>HOW TO READ THE EXAMPLE</x:v>
      </x:c>
      <x:c r="B9" s="11" t="str">
        <x:v>HOW TO READ THE EXAMPLE</x:v>
      </x:c>
      <x:c r="C9" s="11" t="str">
        <x:v>HOW TO READ THE EXAMPLE</x:v>
      </x:c>
      <x:c r="D9" s="11" t="str">
        <x:v>HOW TO READ THE EXAMPLE</x:v>
      </x:c>
      <x:c r="E9" s="11" t="str">
        <x:v>HOW TO READ THE EXAMPLE</x:v>
      </x:c>
      <x:c r="F9" s="11" t="str">
        <x:v>HOW TO READ THE EXAMPLE</x:v>
      </x:c>
      <x:c r="G9" s="11" t="str">
        <x:v>HOW TO READ THE EXAMPLE</x:v>
      </x:c>
      <x:c r="H9" s="11" t="str">
        <x:v>HOW TO READ THE EXAMPLE</x:v>
      </x:c>
      <x:c r="I9" s="11" t="str">
        <x:v>HOW TO READ THE EXAMPLE</x:v>
      </x:c>
      <x:c r="J9" s="11" t="str">
        <x:v>HOW TO READ THE EXAMPLE</x:v>
      </x:c>
      <x:c r="K9" s="11" t="str">
        <x:v>HOW TO READ THE EXAMPLE</x:v>
      </x:c>
      <x:c r="L9" s="11" t="str">
        <x:v>HOW TO READ THE EXAMPLE</x:v>
      </x:c>
      <x:c r="M9" s="11" t="str">
        <x:v>HOW TO READ THE EXAMPLE</x:v>
      </x:c>
      <x:c r="N9" s="11" t="str">
        <x:v>HOW TO READ THE EXAMPLE</x:v>
      </x:c>
      <x:c r="O9" s="11" t="str">
        <x:v>HOW TO READ THE EXAMPLE</x:v>
      </x:c>
      <x:c r="P9" s="11" t="str">
        <x:v>HOW TO READ THE EXAMPLE</x:v>
      </x:c>
      <x:c r="Q9" s="11" t="str">
        <x:v>HOW TO READ THE EXAMPLE</x:v>
      </x:c>
      <x:c r="R9" s="11" t="str">
        <x:v>HOW TO READ THE EXAMPLE</x:v>
      </x:c>
      <x:c r="S9" s="12" t="str">
        <x:v>HOW TO READ THE EXAMPLE</x:v>
      </x:c>
    </x:row>
    <x:row r="10" ht="30" customHeight="1">
      <x:c r="A10" s="13" t="str">
        <x:v>Opening cash</x:v>
      </x:c>
      <x:c r="B10" s="13"/>
      <x:c r="C10" s="13"/>
      <x:c r="D10" s="22" t="str">
        <x:v>The included bank and cash-equivalent balance at the start of January.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</x:row>
    <x:row r="11" ht="30" customHeight="1">
      <x:c r="A11" s="13" t="str">
        <x:v>Operating activity</x:v>
      </x:c>
      <x:c r="B11" s="13"/>
      <x:c r="C11" s="13"/>
      <x:c r="D11" s="22" t="str">
        <x:v>Customer cash collected less ordinary operating cash paid. It excludes the separately entered items that follow.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</x:row>
    <x:row r="12" ht="30" customHeight="1">
      <x:c r="A12" s="13" t="str">
        <x:v>Owner and debt payments</x:v>
      </x:c>
      <x:c r="B12" s="13"/>
      <x:c r="C12" s="13"/>
      <x:c r="D12" s="22" t="str">
        <x:v>Owner draws, debt principal and debt interest remain visible instead of being hidden inside operating cash paid.</x:v>
      </x:c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</x:row>
    <x:row r="13" ht="30" customHeight="1">
      <x:c r="A13" s="13" t="str">
        <x:v>Investing and funding</x:v>
      </x:c>
      <x:c r="B13" s="13"/>
      <x:c r="C13" s="13"/>
      <x:c r="D13" s="22" t="str">
        <x:v>Asset purchases, asset sale proceeds, new debt and owner funding are recorded separately.</x:v>
      </x:c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</x:row>
    <x:row r="14" ht="30" customHeight="1">
      <x:c r="A14" s="13" t="str">
        <x:v>Unavailable cash</x:v>
      </x:c>
      <x:c r="B14" s="13"/>
      <x:c r="C14" s="13"/>
      <x:c r="D14" s="22" t="str">
        <x:v>Of the 110,000 closing balance, 12,000 is reserved or otherwise unavailable for ordinary obligations.</x:v>
      </x:c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 ht="30" customHeight="1">
      <x:c r="A15" s="13" t="str">
        <x:v>Reconciliation</x:v>
      </x:c>
      <x:c r="B15" s="13"/>
      <x:c r="C15" s="13"/>
      <x:c r="D15" s="22" t="str">
        <x:v>Opening cash plus all classified activity equals closing cash, so the difference is zero.</x:v>
      </x:c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</x:row>
  </x:sheetData>
  <x:mergeCells>
    <x:mergeCell ref="A1:S2"/>
    <x:mergeCell ref="A3:S3"/>
    <x:mergeCell ref="A9:S9"/>
    <x:mergeCell ref="A10:C10"/>
    <x:mergeCell ref="D10:S10"/>
    <x:mergeCell ref="A11:C11"/>
    <x:mergeCell ref="D11:S11"/>
    <x:mergeCell ref="A12:C12"/>
    <x:mergeCell ref="D12:S12"/>
    <x:mergeCell ref="A13:C13"/>
    <x:mergeCell ref="D13:S13"/>
    <x:mergeCell ref="A14:C14"/>
    <x:mergeCell ref="D14:S14"/>
    <x:mergeCell ref="A15:C15"/>
    <x:mergeCell ref="D15:S15"/>
  </x:mergeCells>
  <x:pageMargins left="0.7" right="0.7" top="0.75" bottom="0.75" header="0.3" footer="0.3"/>
</x:worksheet>
</file>